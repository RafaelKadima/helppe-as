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 Executivo" sheetId="1" state="visible" r:id="rId3"/>
    <sheet name="Dados" sheetId="2" state="visible" r:id="rId4"/>
    <sheet name="Marketing" sheetId="3" state="visible" r:id="rId5"/>
    <sheet name="Projetos" sheetId="4" state="visible" r:id="rId6"/>
    <sheet name="Roadmap 2026-2028" sheetId="5" state="visible" r:id="rId7"/>
    <sheet name="Equipe &amp; Cust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<sst xmlns="http://schemas.openxmlformats.org/spreadsheetml/2006/main" count="548" uniqueCount="215">
  <si>
    <t xml:space="preserve">HELP PEÇAS — PAINEL EXECUTIVO</t>
  </si>
  <si>
    <t xml:space="preserve">Atualizado em: Março 2026 · Meta: Liderança de Mercado até 2028</t>
  </si>
  <si>
    <t xml:space="preserve">FATURAMENTO MENSAL</t>
  </si>
  <si>
    <t xml:space="preserve">TICKET MÉDIO</t>
  </si>
  <si>
    <t xml:space="preserve">TAXA CONVERSÃO</t>
  </si>
  <si>
    <t xml:space="preserve">CAC</t>
  </si>
  <si>
    <t xml:space="preserve">NPS</t>
  </si>
  <si>
    <t xml:space="preserve">RECEITA vs META — Estamos no caminho certo?</t>
  </si>
  <si>
    <t xml:space="preserve">[Gráfico: Receita vs Meta por Mês]</t>
  </si>
  <si>
    <t xml:space="preserve">COMO ESTAMOS ALOCANDO O INVESTIMENTO EM MARKETING?</t>
  </si>
  <si>
    <t xml:space="preserve">[Gráfico: Investimento em Marketing por Canal]</t>
  </si>
  <si>
    <t xml:space="preserve">EVOLUÇÃO DO FUNIL DE CONVERSÃO</t>
  </si>
  <si>
    <t xml:space="preserve">[Gráfico: Funil de Conversão (Visitantes → Leads → Carrinhos → Pedidos)]</t>
  </si>
  <si>
    <t xml:space="preserve">Métrica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</si>
  <si>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</si>
  <si>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</si>
  <si>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</si>
  <si>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</si>
  <si>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</si>
  <si>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</si>
  <si>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</si>
  <si>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</si>
  <si>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</si>
  <si>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</si>
  <si>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</si>
  <si>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</si>
  <si>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Meta Anual</t>
  </si>
  <si>
    <t xml:space="preserve">Acum. YTD</t>
  </si>
  <si>
    <t xml:space="preserve">% Meta</t>
  </si>
  <si>
    <t xml:space="preserve">Faturamento Bruto (R$)</t>
  </si>
  <si>
    <t xml:space="preserve">Receita Líquida (R$)</t>
  </si>
  <si>
    <t xml:space="preserve">Pedidos</t>
  </si>
  <si>
    <t xml:space="preserve">Ticket Médio (R$)</t>
  </si>
  <si>
    <t xml:space="preserve">Visitantes Únicos</t>
  </si>
  <si>
    <t xml:space="preserve">Taxa de Conversão (%)</t>
  </si>
  <si>
    <t xml:space="preserve">CAC (R$)</t>
  </si>
  <si>
    <t xml:space="preserve">LTV (R$)</t>
  </si>
  <si>
    <t xml:space="preserve">LTV/CAC</t>
  </si>
  <si>
    <t xml:space="preserve">ROAS</t>
  </si>
  <si>
    <t xml:space="preserve">Margem Bruta (%)</t>
  </si>
  <si>
    <t xml:space="preserve">Giro Estoque (dias)</t>
  </si>
  <si>
    <t xml:space="preserve">SLA Entrega (%)</t>
  </si>
  <si>
    <t xml:space="preserve">CSAT</t>
  </si>
  <si>
    <t xml:space="preserve">SKUs Ativos</t>
  </si>
  <si>
    <t xml:space="preserve">Taxa Devolução (%)</t>
  </si>
  <si>
    <t xml:space="preserve">Leads Gerados</t>
  </si>
  <si>
    <t xml:space="preserve">Carrinhos Criados</t>
  </si>
  <si>
    <t xml:space="preserve">Clientes Recorrentes (%)</t>
  </si>
  <si>
    <t xml:space="preserve">ANÁLISE DE CANAIS DE MARKETING</t>
  </si>
  <si>
    <t xml:space="preserve">Canal</t>
  </si>
  <si>
    <t xml:space="preserve">Investimento Mensal (R$)</t>
  </si>
  <si>
    <t xml:space="preserve">Receita Gerada (R$)</t>
  </si>
  <si>
    <t xml:space="preserve">Leads</t>
  </si>
  <si>
    <t xml:space="preserve">CPL (R$)</t>
  </si>
  <si>
    <t xml:space="preserve">Conversões</t>
  </si>
  <si>
    <t xml:space="preserve">CPA (R$)</t>
  </si>
  <si>
    <t xml:space="preserve">% Orçamento</t>
  </si>
  <si>
    <t xml:space="preserve">Meta Ads</t>
  </si>
  <si>
    <t xml:space="preserve">Google Ads</t>
  </si>
  <si>
    <t xml:space="preserve">TikTok Ads</t>
  </si>
  <si>
    <t xml:space="preserve">Influenciadores</t>
  </si>
  <si>
    <t xml:space="preserve">Conteúdo Orgânico</t>
  </si>
  <si>
    <t xml:space="preserve">Podcast "Rolê Infinito"</t>
  </si>
  <si>
    <t xml:space="preserve">Email Marketing</t>
  </si>
  <si>
    <t xml:space="preserve">WhatsApp</t>
  </si>
  <si>
    <t xml:space="preserve">TOTAL</t>
  </si>
  <si>
    <t xml:space="preserve">ID</t>
  </si>
  <si>
    <t xml:space="preserve">Área</t>
  </si>
  <si>
    <t xml:space="preserve">Projeto/Entregável</t>
  </si>
  <si>
    <t xml:space="preserve">Responsável</t>
  </si>
  <si>
    <t xml:space="preserve">Data Início</t>
  </si>
  <si>
    <t xml:space="preserve">Data Prazo</t>
  </si>
  <si>
    <t xml:space="preserve">Status</t>
  </si>
  <si>
    <t xml:space="preserve">Prioridade</t>
  </si>
  <si>
    <t xml:space="preserve">% Conclusão</t>
  </si>
  <si>
    <t xml:space="preserve">Semáforo</t>
  </si>
  <si>
    <t xml:space="preserve">Mar 26</t>
  </si>
  <si>
    <t xml:space="preserve">Apr 26</t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</si>
  <si>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</si>
  <si>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</si>
  <si>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</si>
  <si>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</si>
  <si>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</si>
  <si>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</si>
  <si>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</si>
  <si>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</si>
  <si>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</si>
  <si>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</si>
  <si>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E-commerce</t>
  </si>
  <si>
    <t xml:space="preserve">Migração plataforma VTEX</t>
  </si>
  <si>
    <t xml:space="preserve">Rafael</t>
  </si>
  <si>
    <t xml:space="preserve">Em Andamento</t>
  </si>
  <si>
    <t xml:space="preserve">Crítica</t>
  </si>
  <si>
    <t xml:space="preserve">●</t>
  </si>
  <si>
    <t xml:space="preserve">█</t>
  </si>
  <si>
    <t xml:space="preserve">Integração Mercado Livre</t>
  </si>
  <si>
    <t xml:space="preserve">Tech</t>
  </si>
  <si>
    <t xml:space="preserve">Alta</t>
  </si>
  <si>
    <t xml:space="preserve">Integração Amazon BR</t>
  </si>
  <si>
    <t xml:space="preserve">Pendente</t>
  </si>
  <si>
    <t xml:space="preserve">Cadastro 2000 SKUs</t>
  </si>
  <si>
    <t xml:space="preserve">Ops</t>
  </si>
  <si>
    <t xml:space="preserve">App mobile (design)</t>
  </si>
  <si>
    <t xml:space="preserve">Média</t>
  </si>
  <si>
    <t xml:space="preserve">Programa de fidelidade</t>
  </si>
  <si>
    <t xml:space="preserve">Mkt</t>
  </si>
  <si>
    <t xml:space="preserve">Private label "Help Original"</t>
  </si>
  <si>
    <t xml:space="preserve">Produto</t>
  </si>
  <si>
    <t xml:space="preserve">Marketing</t>
  </si>
  <si>
    <t xml:space="preserve">Campanha lançamento Q1</t>
  </si>
  <si>
    <t xml:space="preserve">Concluído</t>
  </si>
  <si>
    <t xml:space="preserve">Setup Google Ads Shopping</t>
  </si>
  <si>
    <t xml:space="preserve">Podcast "Rolê Infinito" S1</t>
  </si>
  <si>
    <t xml:space="preserve">Conteúdo</t>
  </si>
  <si>
    <t xml:space="preserve">Editorial "Vozes da Cidade"</t>
  </si>
  <si>
    <t xml:space="preserve">Parcerias 10 influenciadores</t>
  </si>
  <si>
    <t xml:space="preserve">SEO — 50 artigos blog</t>
  </si>
  <si>
    <t xml:space="preserve">TikTok channel launch</t>
  </si>
  <si>
    <t xml:space="preserve">Brand awareness survey</t>
  </si>
  <si>
    <t xml:space="preserve">Operações</t>
  </si>
  <si>
    <t xml:space="preserve">Contrato 5 fornecedores cert.</t>
  </si>
  <si>
    <t xml:space="preserve">Setup WMS Bling</t>
  </si>
  <si>
    <t xml:space="preserve">Centro distribuição SP</t>
  </si>
  <si>
    <t xml:space="preserve">Processo fulfillment D+1</t>
  </si>
  <si>
    <t xml:space="preserve">Qualidade fornecedores</t>
  </si>
  <si>
    <t xml:space="preserve">Contrato Melhor Envio/Kangu</t>
  </si>
  <si>
    <t xml:space="preserve">People</t>
  </si>
  <si>
    <t xml:space="preserve">Contratar Head de Marketing</t>
  </si>
  <si>
    <t xml:space="preserve">RH</t>
  </si>
  <si>
    <t xml:space="preserve">Contratar Head de Operações</t>
  </si>
  <si>
    <t xml:space="preserve">Contratar Analista de Dados</t>
  </si>
  <si>
    <t xml:space="preserve">Setup GA4 + dashboards</t>
  </si>
  <si>
    <t xml:space="preserve">Integração CRM HubSpot</t>
  </si>
  <si>
    <t xml:space="preserve">Chatbot WhatsApp API</t>
  </si>
  <si>
    <t xml:space="preserve">Setup Zendesk CS</t>
  </si>
  <si>
    <t xml:space="preserve">CS</t>
  </si>
  <si>
    <t xml:space="preserve">Base conhecimento FAQ</t>
  </si>
  <si>
    <t xml:space="preserve">Treinamento equipe SAC</t>
  </si>
  <si>
    <t xml:space="preserve">Pilar Estratégico</t>
  </si>
  <si>
    <t xml:space="preserve">Iniciativa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</si>
  <si>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</si>
  <si>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</si>
  <si>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</si>
  <si>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</si>
  <si>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</si>
  <si>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</si>
  <si>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</si>
  <si>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</si>
  <si>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</si>
  <si>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</si>
  <si>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</si>
  <si>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</si>
  <si>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Migração VTEX</t>
  </si>
  <si>
    <t xml:space="preserve">Marketplaces (ML, Amazon)</t>
  </si>
  <si>
    <t xml:space="preserve">App mobile</t>
  </si>
  <si>
    <t xml:space="preserve">Fidelidade</t>
  </si>
  <si>
    <t xml:space="preserve">Marketing &amp; Conteúdo</t>
  </si>
  <si>
    <t xml:space="preserve">Blog &amp; SEO 50 artigos</t>
  </si>
  <si>
    <t xml:space="preserve">Editorial lifestyle</t>
  </si>
  <si>
    <t xml:space="preserve">Fornecedores certificados</t>
  </si>
  <si>
    <t xml:space="preserve">WMS Bling</t>
  </si>
  <si>
    <t xml:space="preserve">Fulfillment D+1</t>
  </si>
  <si>
    <t xml:space="preserve">Tecnologia</t>
  </si>
  <si>
    <t xml:space="preserve">GA4 + Dashboards</t>
  </si>
  <si>
    <t xml:space="preserve">HubSpot CRM</t>
  </si>
  <si>
    <t xml:space="preserve">Chatbot WhatsApp</t>
  </si>
  <si>
    <t xml:space="preserve">Zendesk CS</t>
  </si>
  <si>
    <t xml:space="preserve">Pessoas</t>
  </si>
  <si>
    <t xml:space="preserve">Head de Marketing</t>
  </si>
  <si>
    <t xml:space="preserve">Head de Operações</t>
  </si>
  <si>
    <t xml:space="preserve">Time de dados</t>
  </si>
  <si>
    <t xml:space="preserve">2000+ SKUs</t>
  </si>
  <si>
    <t xml:space="preserve">Financeiro</t>
  </si>
  <si>
    <t xml:space="preserve">Rentabilidade positiva</t>
  </si>
  <si>
    <t xml:space="preserve">Série A/Financiamento</t>
  </si>
  <si>
    <t xml:space="preserve">Fase</t>
  </si>
  <si>
    <t xml:space="preserve">Cargo</t>
  </si>
  <si>
    <t xml:space="preserve">Departamento</t>
  </si>
  <si>
    <t xml:space="preserve">Tipo</t>
  </si>
  <si>
    <t xml:space="preserve">Salário/Mês (R$)</t>
  </si>
  <si>
    <t xml:space="preserve">Encargos (70%)</t>
  </si>
  <si>
    <t xml:space="preserve">Custo Total/Mês</t>
  </si>
  <si>
    <t xml:space="preserve">Contratação</t>
  </si>
  <si>
    <t xml:space="preserve">Fase 1 (2026)</t>
  </si>
  <si>
    <t xml:space="preserve">CEO/Founder</t>
  </si>
  <si>
    <t xml:space="preserve">Exec</t>
  </si>
  <si>
    <t xml:space="preserve">PJ</t>
  </si>
  <si>
    <t xml:space="preserve">01/01/26</t>
  </si>
  <si>
    <t xml:space="preserve">Ativo</t>
  </si>
  <si>
    <t xml:space="preserve">Dev Fullstack</t>
  </si>
  <si>
    <t xml:space="preserve">CLT</t>
  </si>
  <si>
    <t xml:space="preserve">Analista E-commerce</t>
  </si>
  <si>
    <t xml:space="preserve">Social Media</t>
  </si>
  <si>
    <t xml:space="preserve">Designer</t>
  </si>
  <si>
    <t xml:space="preserve">Design</t>
  </si>
  <si>
    <t xml:space="preserve">Operador Estoque</t>
  </si>
  <si>
    <t xml:space="preserve">Atendente SAC</t>
  </si>
  <si>
    <t xml:space="preserve">01/02/26</t>
  </si>
  <si>
    <t xml:space="preserve">Fase 2 (2027)</t>
  </si>
  <si>
    <t xml:space="preserve">Head Marketing</t>
  </si>
  <si>
    <t xml:space="preserve">01/04/26</t>
  </si>
  <si>
    <t xml:space="preserve">Recrutando</t>
  </si>
  <si>
    <t xml:space="preserve">Head Operações</t>
  </si>
  <si>
    <t xml:space="preserve">01/05/26</t>
  </si>
  <si>
    <t xml:space="preserve">Videomaker</t>
  </si>
  <si>
    <t xml:space="preserve">01/03/26</t>
  </si>
  <si>
    <t xml:space="preserve">Redator</t>
  </si>
  <si>
    <t xml:space="preserve">Community Manager</t>
  </si>
  <si>
    <t xml:space="preserve">CS Especialista</t>
  </si>
  <si>
    <t xml:space="preserve">CS Técnico</t>
  </si>
  <si>
    <t xml:space="preserve">01/06/26</t>
  </si>
  <si>
    <t xml:space="preserve">Analista de Dados</t>
  </si>
  <si>
    <t xml:space="preserve">Compras/Supply Chain</t>
  </si>
  <si>
    <t xml:space="preserve">TOTAL FASE 1</t>
  </si>
  <si>
    <t xml:space="preserve">TOTAL FASE 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</si>
</sst>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"/>
    <numFmt numFmtId="166" formatCode="0.0%"/>
    <numFmt numFmtId="167" formatCode="0"/>
    <numFmt numFmtId="168" formatCode="#,##0"/>
    <numFmt numFmtId="169" formatCode="0.00"/>
    <numFmt numFmtId="170" formatCode="dd/mm/yy"/>
    <numFmt numFmtId="171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CAFF00"/>
      <name val="Arial"/>
      <family val="0"/>
      <charset val="1"/>
    </font>
    <font>
      <sz val="11"/>
      <color rgb="FF6B6B6B"/>
      <name val="Arial"/>
      <family val="0"/>
      <charset val="1"/>
    </font>
    <font>
      <sz val="9"/>
      <color rgb="FF6B6B6B"/>
      <name val="Arial"/>
      <family val="0"/>
      <charset val="1"/>
    </font>
    <font>
      <b val="true"/>
      <sz val="24"/>
      <color rgb="FFCAFF00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1"/>
      <color rgb="FFCAFF00"/>
      <name val="Arial"/>
      <family val="0"/>
      <charset val="1"/>
    </font>
    <font>
      <sz val="10"/>
      <name val="Arial"/>
      <family val="0"/>
      <charset val="1"/>
    </font>
    <font>
      <sz val="10"/>
      <color rgb="FF0066CC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1A"/>
        <bgColor rgb="FF003300"/>
      </patternFill>
    </fill>
    <fill>
      <patternFill patternType="solid">
        <fgColor rgb="FFF5F5F3"/>
        <bgColor rgb="FFFAFAFA"/>
      </patternFill>
    </fill>
    <fill>
      <patternFill patternType="solid">
        <fgColor rgb="FFFAFAFA"/>
        <bgColor rgb="FFF5F5F3"/>
      </patternFill>
    </fill>
    <fill>
      <patternFill patternType="solid">
        <fgColor rgb="FFE8E8E8"/>
        <bgColor rgb="FFF5F5F3"/>
      </patternFill>
    </fill>
    <fill>
      <patternFill patternType="solid">
        <fgColor rgb="FF2D4659"/>
        <bgColor rgb="FF333399"/>
      </patternFill>
    </fill>
    <fill>
      <patternFill patternType="solid">
        <fgColor rgb="FFCA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CAFF00"/>
      </left>
      <right/>
      <top style="medium">
        <color rgb="FFCAFF00"/>
      </top>
      <bottom style="medium">
        <color rgb="FFCAFF00"/>
      </bottom>
      <diagonal/>
    </border>
    <border diagonalUp="false" diagonalDown="false">
      <left style="thin">
        <color rgb="FFF5F5F3"/>
      </left>
      <right style="thin">
        <color rgb="FFF5F5F3"/>
      </right>
      <top style="thin">
        <color rgb="FFF5F5F3"/>
      </top>
      <bottom style="thin">
        <color rgb="FFF5F5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4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0" fillId="4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AFA"/>
      <rgbColor rgb="FFFF0000"/>
      <rgbColor rgb="FF00FF00"/>
      <rgbColor rgb="FF0000FF"/>
      <rgbColor rgb="FFCA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3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2D46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6" min="1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9.5" hidden="false" customHeight="true" outlineLevel="0" collapsed="false">
      <c r="A4" s="3" t="s">
        <v>2</v>
      </c>
      <c r="B4" s="3"/>
      <c r="D4" s="3" t="s">
        <v>3</v>
      </c>
      <c r="E4" s="3"/>
      <c r="F4" s="3" t="s">
        <v>4</v>
      </c>
      <c r="G4" s="3"/>
      <c r="H4" s="3" t="s">
        <v>5</v>
      </c>
      <c r="I4" s="3"/>
      <c r="J4" s="3" t="s">
        <v>6</v>
      </c>
      <c r="K4" s="3"/>
    </row>
    <row r="5" customFormat="false" ht="31.5" hidden="false" customHeight="true" outlineLevel="0" collapsed="false">
      <c r="A5" s="4" t="n">
        <f aca="false">Dados!O2</f>
        <v>1370000</v>
      </c>
      <c r="B5" s="4"/>
      <c r="D5" s="4" t="n">
        <f aca="false">Dados!O5</f>
        <v>1.17684288905436</v>
      </c>
      <c r="E5" s="4"/>
      <c r="F5" s="5" t="n">
        <f aca="false">Dados!O7</f>
        <v>5.63769014084507</v>
      </c>
      <c r="G5" s="5"/>
      <c r="H5" s="4" t="n">
        <f aca="false">Dados!O8</f>
        <v>55</v>
      </c>
      <c r="I5" s="4"/>
      <c r="J5" s="6" t="n">
        <f aca="false">Dados!O12</f>
        <v>60</v>
      </c>
      <c r="K5" s="6"/>
    </row>
    <row r="7" customFormat="false" ht="18" hidden="false" customHeight="true" outlineLevel="0" collapsed="false">
      <c r="A7" s="7" t="s">
        <v>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99.5" hidden="false" customHeight="true" outlineLevel="0" collapsed="false">
      <c r="A8" s="8" t="s">
        <v>8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4" customFormat="false" ht="18" hidden="false" customHeight="true" outlineLevel="0" collapsed="false">
      <c r="A24" s="9" t="s">
        <v>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customFormat="false" ht="15" hidden="false" customHeight="false" outlineLevel="0" collapsed="false">
      <c r="A25" s="8" t="s">
        <v>10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40" customFormat="false" ht="18" hidden="false" customHeight="true" outlineLevel="0" collapsed="false">
      <c r="A40" s="9" t="s">
        <v>11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customFormat="false" ht="15" hidden="false" customHeight="false" outlineLevel="0" collapsed="false">
      <c r="A41" s="8" t="s">
        <v>12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</sheetData>
  <mergeCells count="18">
    <mergeCell ref="A1:P1"/>
    <mergeCell ref="A2:P2"/>
    <mergeCell ref="A4:B4"/>
    <mergeCell ref="D4:E4"/>
    <mergeCell ref="F4:G4"/>
    <mergeCell ref="H4:I4"/>
    <mergeCell ref="J4:K4"/>
    <mergeCell ref="A5:B5"/>
    <mergeCell ref="D5:E5"/>
    <mergeCell ref="F5:G5"/>
    <mergeCell ref="H5:I5"/>
    <mergeCell ref="J5:K5"/>
    <mergeCell ref="A7:P7"/>
    <mergeCell ref="A8:P22"/>
    <mergeCell ref="A24:P24"/>
    <mergeCell ref="A25:P38"/>
    <mergeCell ref="A40:P40"/>
    <mergeCell ref="A41:P54"/>
  </mergeCells>
  <printOptions headings="false" gridLines="false" gridLinesSet="true" horizontalCentered="false" verticalCentered="false"/>
  <pageMargins left="0.5" right="0.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16" min="2" style="0" width="12"/>
  </cols>
  <sheetData>
    <row r="1" customFormat="false" ht="19.5" hidden="false" customHeight="true" outlineLevel="0" collapsed="false">
      <c r="A1" s="10" t="s">
        <v>13</v>
      </c>
      <c r="B1" s="10" t="s">
        <v>14</v>
      </c>
      <c r="C1" s="10" t="s">
        <v>15</v>
      </c>
      <c r="D1" s="10" t="s">
        <v>16</v>
      </c>
      <c r="E1" s="10" t="s">
        <v>17</v>
      </c>
      <c r="F1" s="10" t="s">
        <v>18</v>
      </c>
      <c r="G1" s="10" t="s">
        <v>19</v>
      </c>
      <c r="H1" s="10" t="s">
        <v>20</v>
      </c>
      <c r="I1" s="10" t="s">
        <v>21</v>
      </c>
      <c r="J1" s="10" t="s">
        <v>22</v>
      </c>
      <c r="K1" s="10" t="s">
        <v>23</v>
      </c>
      <c r="L1" s="10" t="s">
        <v>24</v>
      </c>
      <c r="M1" s="10" t="s">
        <v>25</v>
      </c>
      <c r="N1" s="10" t="s">
        <v>26</v>
      </c>
      <c r="O1" s="10" t="s">
        <v>27</v>
      </c>
      <c r="P1" s="10" t="s">
        <v>28</v>
      </c>
    </row>
    <row r="2" customFormat="false" ht="15" hidden="false" customHeight="false" outlineLevel="0" collapsed="false">
      <c r="A2" s="11" t="s">
        <v>29</v>
      </c>
      <c r="B2" s="12" t="n">
        <v>420000</v>
      </c>
      <c r="C2" s="12" t="n">
        <v>465000</v>
      </c>
      <c r="D2" s="13" t="n">
        <v>485000</v>
      </c>
      <c r="E2" s="13"/>
      <c r="F2" s="13"/>
      <c r="G2" s="13"/>
      <c r="H2" s="13"/>
      <c r="I2" s="13"/>
      <c r="J2" s="13"/>
      <c r="K2" s="13"/>
      <c r="L2" s="13"/>
      <c r="M2" s="13"/>
      <c r="N2" s="14" t="n">
        <v>6000000</v>
      </c>
      <c r="O2" s="14" t="n">
        <f aca="false">SUMIF(B2:M2,"&gt;0")</f>
        <v>1370000</v>
      </c>
      <c r="P2" s="14" t="n">
        <f aca="false">IF(N2=0, 0, O2/N2)</f>
        <v>0.228333333333333</v>
      </c>
    </row>
    <row r="3" customFormat="false" ht="15" hidden="false" customHeight="false" outlineLevel="0" collapsed="false">
      <c r="A3" s="11" t="s">
        <v>30</v>
      </c>
      <c r="B3" s="15" t="n">
        <v>357000</v>
      </c>
      <c r="C3" s="15" t="n">
        <v>395000</v>
      </c>
      <c r="D3" s="16" t="n">
        <v>412000</v>
      </c>
      <c r="E3" s="16"/>
      <c r="F3" s="16"/>
      <c r="G3" s="16"/>
      <c r="H3" s="16"/>
      <c r="I3" s="16"/>
      <c r="J3" s="16"/>
      <c r="K3" s="16"/>
      <c r="L3" s="16"/>
      <c r="M3" s="16"/>
      <c r="N3" s="17" t="n">
        <v>5100000</v>
      </c>
      <c r="O3" s="17" t="n">
        <f aca="false">SUMIF(B3:M3,"&gt;0")</f>
        <v>1164000</v>
      </c>
      <c r="P3" s="17" t="n">
        <f aca="false">IF(N3=0, 0, O3/N3)</f>
        <v>0.228235294117647</v>
      </c>
    </row>
    <row r="4" customFormat="false" ht="15" hidden="false" customHeight="false" outlineLevel="0" collapsed="false">
      <c r="A4" s="11" t="s">
        <v>31</v>
      </c>
      <c r="B4" s="18" t="n">
        <v>1750</v>
      </c>
      <c r="C4" s="18" t="n">
        <v>1920</v>
      </c>
      <c r="D4" s="19" t="n">
        <v>2003</v>
      </c>
      <c r="E4" s="19"/>
      <c r="F4" s="19"/>
      <c r="G4" s="19"/>
      <c r="H4" s="19"/>
      <c r="I4" s="19"/>
      <c r="J4" s="19"/>
      <c r="K4" s="19"/>
      <c r="L4" s="19"/>
      <c r="M4" s="19"/>
      <c r="N4" s="20" t="n">
        <v>25000</v>
      </c>
      <c r="O4" s="20" t="n">
        <f aca="false">SUMIF(B4:M4,"&gt;0")</f>
        <v>5673</v>
      </c>
      <c r="P4" s="20" t="n">
        <f aca="false">IF(N4=0, 0, O4/N4)</f>
        <v>0.22692</v>
      </c>
    </row>
    <row r="5" customFormat="false" ht="15" hidden="false" customHeight="false" outlineLevel="0" collapsed="false">
      <c r="A5" s="11" t="s">
        <v>32</v>
      </c>
      <c r="B5" s="16" t="n">
        <f aca="false">IF(B3=0, 0, B2/B3)</f>
        <v>1.17647058823529</v>
      </c>
      <c r="C5" s="16" t="n">
        <f aca="false">IF(C3=0, 0, C2/C3)</f>
        <v>1.17721518987342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7" t="n">
        <v>240</v>
      </c>
      <c r="O5" s="17" t="n">
        <f aca="false">AVERAGEIF(B5:M5,"&gt;0")</f>
        <v>1.17684288905436</v>
      </c>
      <c r="P5" s="17" t="n">
        <f aca="false">IF(N5=0, 0, O5/N5)</f>
        <v>0.00490351203772648</v>
      </c>
    </row>
    <row r="6" customFormat="false" ht="15" hidden="false" customHeight="false" outlineLevel="0" collapsed="false">
      <c r="A6" s="11" t="s">
        <v>33</v>
      </c>
      <c r="B6" s="18" t="n">
        <v>62500</v>
      </c>
      <c r="C6" s="18" t="n">
        <v>71000</v>
      </c>
      <c r="D6" s="19" t="n">
        <v>78500</v>
      </c>
      <c r="E6" s="19"/>
      <c r="F6" s="19"/>
      <c r="G6" s="19"/>
      <c r="H6" s="19"/>
      <c r="I6" s="19"/>
      <c r="J6" s="19"/>
      <c r="K6" s="19"/>
      <c r="L6" s="19"/>
      <c r="M6" s="19"/>
      <c r="N6" s="20" t="n">
        <v>900000</v>
      </c>
      <c r="O6" s="20" t="n">
        <f aca="false">SUMIF(B6:M6,"&gt;0")</f>
        <v>212000</v>
      </c>
      <c r="P6" s="20" t="n">
        <f aca="false">IF(N6=0, 0, O6/N6)</f>
        <v>0.235555555555556</v>
      </c>
    </row>
    <row r="7" customFormat="false" ht="15" hidden="false" customHeight="false" outlineLevel="0" collapsed="false">
      <c r="A7" s="11" t="s">
        <v>34</v>
      </c>
      <c r="B7" s="21" t="n">
        <f aca="false">IF(B6=0, 0, B3/B6)</f>
        <v>5.712</v>
      </c>
      <c r="C7" s="21" t="n">
        <f aca="false">IF(C6=0, 0, C3/C6)</f>
        <v>5.56338028169014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2" t="n">
        <v>0.028</v>
      </c>
      <c r="O7" s="22" t="n">
        <f aca="false">AVERAGEIF(B7:M7,"&gt;0")</f>
        <v>5.63769014084507</v>
      </c>
      <c r="P7" s="22" t="n">
        <f aca="false">IF(N7=0, 0, O7/N7)</f>
        <v>201.346076458753</v>
      </c>
    </row>
    <row r="8" customFormat="false" ht="15" hidden="false" customHeight="false" outlineLevel="0" collapsed="false">
      <c r="A8" s="11" t="s">
        <v>35</v>
      </c>
      <c r="B8" s="12" t="n">
        <v>58</v>
      </c>
      <c r="C8" s="12" t="n">
        <v>55</v>
      </c>
      <c r="D8" s="13" t="n">
        <v>52</v>
      </c>
      <c r="E8" s="13"/>
      <c r="F8" s="13"/>
      <c r="G8" s="13"/>
      <c r="H8" s="13"/>
      <c r="I8" s="13"/>
      <c r="J8" s="13"/>
      <c r="K8" s="13"/>
      <c r="L8" s="13"/>
      <c r="M8" s="13"/>
      <c r="N8" s="14" t="n">
        <v>50</v>
      </c>
      <c r="O8" s="14" t="n">
        <f aca="false">AVERAGEIF(B8:M8,"&gt;0")</f>
        <v>55</v>
      </c>
      <c r="P8" s="14" t="n">
        <f aca="false">IF(N8=0, 0, O8/N8)</f>
        <v>1.1</v>
      </c>
    </row>
    <row r="9" customFormat="false" ht="15" hidden="false" customHeight="false" outlineLevel="0" collapsed="false">
      <c r="A9" s="11" t="s">
        <v>36</v>
      </c>
      <c r="B9" s="15" t="n">
        <v>580</v>
      </c>
      <c r="C9" s="15" t="n">
        <v>610</v>
      </c>
      <c r="D9" s="16" t="n">
        <v>640</v>
      </c>
      <c r="E9" s="16"/>
      <c r="F9" s="16"/>
      <c r="G9" s="16"/>
      <c r="H9" s="16"/>
      <c r="I9" s="16"/>
      <c r="J9" s="16"/>
      <c r="K9" s="16"/>
      <c r="L9" s="16"/>
      <c r="M9" s="16"/>
      <c r="N9" s="17" t="n">
        <v>720</v>
      </c>
      <c r="O9" s="17" t="n">
        <f aca="false">AVERAGEIF(B9:M9,"&gt;0")</f>
        <v>610</v>
      </c>
      <c r="P9" s="17" t="n">
        <f aca="false">IF(N9=0, 0, O9/N9)</f>
        <v>0.847222222222222</v>
      </c>
    </row>
    <row r="10" customFormat="false" ht="15" hidden="false" customHeight="false" outlineLevel="0" collapsed="false">
      <c r="A10" s="11" t="s">
        <v>37</v>
      </c>
      <c r="B10" s="19" t="n">
        <f aca="false">IF(B8=0, 0, B9/B8)</f>
        <v>10</v>
      </c>
      <c r="C10" s="19" t="n">
        <f aca="false">IF(C8=0, 0, C9/C8)</f>
        <v>11.0909090909091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0" t="n">
        <v>14.4</v>
      </c>
      <c r="O10" s="20" t="n">
        <f aca="false">AVERAGEIF(B10:M10,"&gt;0")</f>
        <v>10.5454545454545</v>
      </c>
      <c r="P10" s="20" t="n">
        <f aca="false">IF(N10=0, 0, O10/N10)</f>
        <v>0.732323232323232</v>
      </c>
    </row>
    <row r="11" customFormat="false" ht="15" hidden="false" customHeight="false" outlineLevel="0" collapsed="false">
      <c r="A11" s="11" t="s">
        <v>38</v>
      </c>
      <c r="B11" s="23" t="n">
        <v>3.8</v>
      </c>
      <c r="C11" s="23" t="n">
        <v>4.1</v>
      </c>
      <c r="D11" s="24" t="n">
        <v>4.5</v>
      </c>
      <c r="E11" s="24"/>
      <c r="F11" s="24"/>
      <c r="G11" s="24"/>
      <c r="H11" s="24"/>
      <c r="I11" s="24"/>
      <c r="J11" s="24"/>
      <c r="K11" s="24"/>
      <c r="L11" s="24"/>
      <c r="M11" s="24"/>
      <c r="N11" s="25" t="n">
        <v>5</v>
      </c>
      <c r="O11" s="25" t="n">
        <f aca="false">AVERAGEIF(B11:M11,"&gt;0")</f>
        <v>4.13333333333333</v>
      </c>
      <c r="P11" s="25" t="n">
        <f aca="false">IF(N11=0, 0, O11/N11)</f>
        <v>0.826666666666667</v>
      </c>
    </row>
    <row r="12" customFormat="false" ht="15" hidden="false" customHeight="false" outlineLevel="0" collapsed="false">
      <c r="A12" s="11" t="s">
        <v>6</v>
      </c>
      <c r="B12" s="18" t="n">
        <v>58</v>
      </c>
      <c r="C12" s="18" t="n">
        <v>60</v>
      </c>
      <c r="D12" s="19" t="n">
        <v>62</v>
      </c>
      <c r="E12" s="19"/>
      <c r="F12" s="19"/>
      <c r="G12" s="19"/>
      <c r="H12" s="19"/>
      <c r="I12" s="19"/>
      <c r="J12" s="19"/>
      <c r="K12" s="19"/>
      <c r="L12" s="19"/>
      <c r="M12" s="19"/>
      <c r="N12" s="20" t="n">
        <v>70</v>
      </c>
      <c r="O12" s="20" t="n">
        <f aca="false">AVERAGEIF(B12:M12,"&gt;0")</f>
        <v>60</v>
      </c>
      <c r="P12" s="20" t="n">
        <f aca="false">IF(N12=0, 0, O12/N12)</f>
        <v>0.857142857142857</v>
      </c>
    </row>
    <row r="13" customFormat="false" ht="15" hidden="false" customHeight="false" outlineLevel="0" collapsed="false">
      <c r="A13" s="11" t="s">
        <v>39</v>
      </c>
      <c r="B13" s="26" t="n">
        <v>0.36</v>
      </c>
      <c r="C13" s="26" t="n">
        <v>0.37</v>
      </c>
      <c r="D13" s="21" t="n">
        <v>0.38</v>
      </c>
      <c r="E13" s="21"/>
      <c r="F13" s="21"/>
      <c r="G13" s="21"/>
      <c r="H13" s="21"/>
      <c r="I13" s="21"/>
      <c r="J13" s="21"/>
      <c r="K13" s="21"/>
      <c r="L13" s="21"/>
      <c r="M13" s="21"/>
      <c r="N13" s="22" t="n">
        <v>0.4</v>
      </c>
      <c r="O13" s="22" t="n">
        <f aca="false">AVERAGEIF(B13:M13,"&gt;0")</f>
        <v>0.37</v>
      </c>
      <c r="P13" s="22" t="n">
        <f aca="false">IF(N13=0, 0, O13/N13)</f>
        <v>0.925</v>
      </c>
    </row>
    <row r="14" customFormat="false" ht="15" hidden="false" customHeight="false" outlineLevel="0" collapsed="false">
      <c r="A14" s="11" t="s">
        <v>40</v>
      </c>
      <c r="B14" s="18" t="n">
        <v>28</v>
      </c>
      <c r="C14" s="18" t="n">
        <v>26</v>
      </c>
      <c r="D14" s="19" t="n">
        <v>24</v>
      </c>
      <c r="E14" s="19"/>
      <c r="F14" s="19"/>
      <c r="G14" s="19"/>
      <c r="H14" s="19"/>
      <c r="I14" s="19"/>
      <c r="J14" s="19"/>
      <c r="K14" s="19"/>
      <c r="L14" s="19"/>
      <c r="M14" s="19"/>
      <c r="N14" s="20" t="n">
        <v>20</v>
      </c>
      <c r="O14" s="20" t="n">
        <f aca="false">AVERAGEIF(B14:M14,"&gt;0")</f>
        <v>26</v>
      </c>
      <c r="P14" s="20" t="n">
        <f aca="false">IF(N14=0, 0, O14/N14)</f>
        <v>1.3</v>
      </c>
    </row>
    <row r="15" customFormat="false" ht="15" hidden="false" customHeight="false" outlineLevel="0" collapsed="false">
      <c r="A15" s="11" t="s">
        <v>41</v>
      </c>
      <c r="B15" s="26" t="n">
        <v>0.92</v>
      </c>
      <c r="C15" s="26" t="n">
        <v>0.94</v>
      </c>
      <c r="D15" s="21" t="n">
        <v>0.95</v>
      </c>
      <c r="E15" s="21"/>
      <c r="F15" s="21"/>
      <c r="G15" s="21"/>
      <c r="H15" s="21"/>
      <c r="I15" s="21"/>
      <c r="J15" s="21"/>
      <c r="K15" s="21"/>
      <c r="L15" s="21"/>
      <c r="M15" s="21"/>
      <c r="N15" s="22" t="n">
        <v>0.97</v>
      </c>
      <c r="O15" s="22" t="n">
        <f aca="false">AVERAGEIF(B15:M15,"&gt;0")</f>
        <v>0.936666666666667</v>
      </c>
      <c r="P15" s="22" t="n">
        <f aca="false">IF(N15=0, 0, O15/N15)</f>
        <v>0.965635738831615</v>
      </c>
    </row>
    <row r="16" customFormat="false" ht="15" hidden="false" customHeight="false" outlineLevel="0" collapsed="false">
      <c r="A16" s="11" t="s">
        <v>42</v>
      </c>
      <c r="B16" s="18" t="n">
        <v>4.2</v>
      </c>
      <c r="C16" s="18" t="n">
        <v>4.3</v>
      </c>
      <c r="D16" s="19" t="n">
        <v>4.4</v>
      </c>
      <c r="E16" s="19"/>
      <c r="F16" s="19"/>
      <c r="G16" s="19"/>
      <c r="H16" s="19"/>
      <c r="I16" s="19"/>
      <c r="J16" s="19"/>
      <c r="K16" s="19"/>
      <c r="L16" s="19"/>
      <c r="M16" s="19"/>
      <c r="N16" s="20" t="n">
        <v>4.7</v>
      </c>
      <c r="O16" s="20" t="n">
        <f aca="false">AVERAGEIF(B16:M16,"&gt;0")</f>
        <v>4.3</v>
      </c>
      <c r="P16" s="20" t="n">
        <f aca="false">IF(N16=0, 0, O16/N16)</f>
        <v>0.914893617021277</v>
      </c>
    </row>
    <row r="17" customFormat="false" ht="15" hidden="false" customHeight="false" outlineLevel="0" collapsed="false">
      <c r="A17" s="11" t="s">
        <v>43</v>
      </c>
      <c r="B17" s="23" t="n">
        <v>1200</v>
      </c>
      <c r="C17" s="23" t="n">
        <v>1450</v>
      </c>
      <c r="D17" s="24" t="n">
        <v>1680</v>
      </c>
      <c r="E17" s="24"/>
      <c r="F17" s="24"/>
      <c r="G17" s="24"/>
      <c r="H17" s="24"/>
      <c r="I17" s="24"/>
      <c r="J17" s="24"/>
      <c r="K17" s="24"/>
      <c r="L17" s="24"/>
      <c r="M17" s="24"/>
      <c r="N17" s="25" t="n">
        <v>3000</v>
      </c>
      <c r="O17" s="25" t="n">
        <f aca="false">SUMIF(B17:M17,"&gt;0")</f>
        <v>4330</v>
      </c>
      <c r="P17" s="25" t="n">
        <f aca="false">IF(N17=0, 0, O17/N17)</f>
        <v>1.44333333333333</v>
      </c>
    </row>
    <row r="18" customFormat="false" ht="15" hidden="false" customHeight="false" outlineLevel="0" collapsed="false">
      <c r="A18" s="11" t="s">
        <v>44</v>
      </c>
      <c r="B18" s="27" t="n">
        <v>0.038</v>
      </c>
      <c r="C18" s="27" t="n">
        <v>0.032</v>
      </c>
      <c r="D18" s="28" t="n">
        <v>0.028</v>
      </c>
      <c r="E18" s="28"/>
      <c r="F18" s="28"/>
      <c r="G18" s="28"/>
      <c r="H18" s="28"/>
      <c r="I18" s="28"/>
      <c r="J18" s="28"/>
      <c r="K18" s="28"/>
      <c r="L18" s="28"/>
      <c r="M18" s="28"/>
      <c r="N18" s="29" t="n">
        <v>0.025</v>
      </c>
      <c r="O18" s="29" t="n">
        <f aca="false">AVERAGEIF(B18:M18,"&gt;0")</f>
        <v>0.0326666666666667</v>
      </c>
      <c r="P18" s="29" t="n">
        <f aca="false">IF(N18=0, 0, O18/N18)</f>
        <v>1.30666666666667</v>
      </c>
    </row>
    <row r="19" customFormat="false" ht="15" hidden="false" customHeight="false" outlineLevel="0" collapsed="false">
      <c r="A19" s="11" t="s">
        <v>45</v>
      </c>
      <c r="B19" s="23" t="n">
        <v>3200</v>
      </c>
      <c r="C19" s="23" t="n">
        <v>3800</v>
      </c>
      <c r="D19" s="24" t="n">
        <v>4100</v>
      </c>
      <c r="E19" s="24"/>
      <c r="F19" s="24"/>
      <c r="G19" s="24"/>
      <c r="H19" s="24"/>
      <c r="I19" s="24"/>
      <c r="J19" s="24"/>
      <c r="K19" s="24"/>
      <c r="L19" s="24"/>
      <c r="M19" s="24"/>
      <c r="N19" s="25" t="n">
        <v>50000</v>
      </c>
      <c r="O19" s="25" t="n">
        <f aca="false">SUMIF(B19:M19,"&gt;0")</f>
        <v>11100</v>
      </c>
      <c r="P19" s="25" t="n">
        <f aca="false">IF(N19=0, 0, O19/N19)</f>
        <v>0.222</v>
      </c>
    </row>
    <row r="20" customFormat="false" ht="15" hidden="false" customHeight="false" outlineLevel="0" collapsed="false">
      <c r="A20" s="11" t="s">
        <v>46</v>
      </c>
      <c r="B20" s="18" t="n">
        <v>4800</v>
      </c>
      <c r="C20" s="18" t="n">
        <v>5400</v>
      </c>
      <c r="D20" s="19" t="n">
        <v>5900</v>
      </c>
      <c r="E20" s="19"/>
      <c r="F20" s="19"/>
      <c r="G20" s="19"/>
      <c r="H20" s="19"/>
      <c r="I20" s="19"/>
      <c r="J20" s="19"/>
      <c r="K20" s="19"/>
      <c r="L20" s="19"/>
      <c r="M20" s="19"/>
      <c r="N20" s="20" t="n">
        <v>65000</v>
      </c>
      <c r="O20" s="20" t="n">
        <f aca="false">SUMIF(B20:M20,"&gt;0")</f>
        <v>16100</v>
      </c>
      <c r="P20" s="20" t="n">
        <f aca="false">IF(N20=0, 0, O20/N20)</f>
        <v>0.247692307692308</v>
      </c>
    </row>
    <row r="21" customFormat="false" ht="15" hidden="false" customHeight="false" outlineLevel="0" collapsed="false">
      <c r="A21" s="11" t="s">
        <v>47</v>
      </c>
      <c r="B21" s="26" t="n">
        <v>0.12</v>
      </c>
      <c r="C21" s="26" t="n">
        <v>0.14</v>
      </c>
      <c r="D21" s="21" t="n">
        <v>0.16</v>
      </c>
      <c r="E21" s="21"/>
      <c r="F21" s="21"/>
      <c r="G21" s="21"/>
      <c r="H21" s="21"/>
      <c r="I21" s="21"/>
      <c r="J21" s="21"/>
      <c r="K21" s="21"/>
      <c r="L21" s="21"/>
      <c r="M21" s="21"/>
      <c r="N21" s="22" t="n">
        <v>0.25</v>
      </c>
      <c r="O21" s="22" t="n">
        <f aca="false">AVERAGEIF(B21:M21,"&gt;0")</f>
        <v>0.14</v>
      </c>
      <c r="P21" s="22" t="n">
        <f aca="false">IF(N21=0, 0, O21/N21)</f>
        <v>0.56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8" min="4" style="0" width="12"/>
    <col collapsed="false" customWidth="true" hidden="false" outlineLevel="0" max="9" min="9" style="0" width="14"/>
  </cols>
  <sheetData>
    <row r="1" customFormat="false" ht="19.5" hidden="false" customHeight="true" outlineLevel="0" collapsed="false">
      <c r="A1" s="30" t="s">
        <v>48</v>
      </c>
      <c r="B1" s="30"/>
      <c r="C1" s="30"/>
      <c r="D1" s="30"/>
      <c r="E1" s="30"/>
      <c r="F1" s="30"/>
      <c r="G1" s="30"/>
      <c r="H1" s="30"/>
      <c r="I1" s="30"/>
    </row>
    <row r="3" customFormat="false" ht="24.75" hidden="false" customHeight="true" outlineLevel="0" collapsed="false">
      <c r="A3" s="31" t="s">
        <v>49</v>
      </c>
      <c r="B3" s="31" t="s">
        <v>50</v>
      </c>
      <c r="C3" s="31" t="s">
        <v>51</v>
      </c>
      <c r="D3" s="31" t="s">
        <v>38</v>
      </c>
      <c r="E3" s="31" t="s">
        <v>52</v>
      </c>
      <c r="F3" s="31" t="s">
        <v>53</v>
      </c>
      <c r="G3" s="31" t="s">
        <v>54</v>
      </c>
      <c r="H3" s="31" t="s">
        <v>55</v>
      </c>
      <c r="I3" s="31" t="s">
        <v>56</v>
      </c>
    </row>
    <row r="4" customFormat="false" ht="15" hidden="false" customHeight="false" outlineLevel="0" collapsed="false">
      <c r="A4" s="32" t="s">
        <v>57</v>
      </c>
      <c r="B4" s="13" t="n">
        <v>4500</v>
      </c>
      <c r="C4" s="13" t="n">
        <v>18000</v>
      </c>
      <c r="D4" s="33" t="n">
        <f aca="false">C4/B4</f>
        <v>4</v>
      </c>
      <c r="E4" s="19" t="n">
        <v>1200</v>
      </c>
      <c r="F4" s="13" t="n">
        <f aca="false">B4/E4</f>
        <v>3.75</v>
      </c>
      <c r="G4" s="19" t="n">
        <v>420</v>
      </c>
      <c r="H4" s="13" t="n">
        <f aca="false">B4/G4</f>
        <v>10.7142857142857</v>
      </c>
      <c r="I4" s="28" t="n">
        <f aca="false">B4/SUM($B$4:$B$11)</f>
        <v>0.321428571428571</v>
      </c>
    </row>
    <row r="5" customFormat="false" ht="15" hidden="false" customHeight="false" outlineLevel="0" collapsed="false">
      <c r="A5" s="11" t="s">
        <v>58</v>
      </c>
      <c r="B5" s="16" t="n">
        <v>3500</v>
      </c>
      <c r="C5" s="16" t="n">
        <v>21000</v>
      </c>
      <c r="D5" s="34" t="n">
        <f aca="false">C5/B5</f>
        <v>6</v>
      </c>
      <c r="E5" s="24" t="n">
        <v>900</v>
      </c>
      <c r="F5" s="16" t="n">
        <f aca="false">B5/E5</f>
        <v>3.88888888888889</v>
      </c>
      <c r="G5" s="24" t="n">
        <v>380</v>
      </c>
      <c r="H5" s="16" t="n">
        <f aca="false">B5/G5</f>
        <v>9.21052631578947</v>
      </c>
      <c r="I5" s="21" t="n">
        <f aca="false">B5/SUM($B$4:$B$11)</f>
        <v>0.25</v>
      </c>
    </row>
    <row r="6" customFormat="false" ht="15" hidden="false" customHeight="false" outlineLevel="0" collapsed="false">
      <c r="A6" s="32" t="s">
        <v>59</v>
      </c>
      <c r="B6" s="13" t="n">
        <v>1500</v>
      </c>
      <c r="C6" s="13" t="n">
        <v>4500</v>
      </c>
      <c r="D6" s="33" t="n">
        <f aca="false">C6/B6</f>
        <v>3</v>
      </c>
      <c r="E6" s="19" t="n">
        <v>600</v>
      </c>
      <c r="F6" s="13" t="n">
        <f aca="false">B6/E6</f>
        <v>2.5</v>
      </c>
      <c r="G6" s="19" t="n">
        <v>90</v>
      </c>
      <c r="H6" s="13" t="n">
        <f aca="false">B6/G6</f>
        <v>16.6666666666667</v>
      </c>
      <c r="I6" s="28" t="n">
        <f aca="false">B6/SUM($B$4:$B$11)</f>
        <v>0.107142857142857</v>
      </c>
    </row>
    <row r="7" customFormat="false" ht="15" hidden="false" customHeight="false" outlineLevel="0" collapsed="false">
      <c r="A7" s="11" t="s">
        <v>60</v>
      </c>
      <c r="B7" s="16" t="n">
        <v>2000</v>
      </c>
      <c r="C7" s="16" t="n">
        <v>8000</v>
      </c>
      <c r="D7" s="34" t="n">
        <f aca="false">C7/B7</f>
        <v>4</v>
      </c>
      <c r="E7" s="24" t="n">
        <v>800</v>
      </c>
      <c r="F7" s="16" t="n">
        <f aca="false">B7/E7</f>
        <v>2.5</v>
      </c>
      <c r="G7" s="24" t="n">
        <v>160</v>
      </c>
      <c r="H7" s="16" t="n">
        <f aca="false">B7/G7</f>
        <v>12.5</v>
      </c>
      <c r="I7" s="21" t="n">
        <f aca="false">B7/SUM($B$4:$B$11)</f>
        <v>0.142857142857143</v>
      </c>
    </row>
    <row r="8" customFormat="false" ht="15" hidden="false" customHeight="false" outlineLevel="0" collapsed="false">
      <c r="A8" s="32" t="s">
        <v>61</v>
      </c>
      <c r="B8" s="13" t="n">
        <v>1000</v>
      </c>
      <c r="C8" s="13" t="n">
        <v>6000</v>
      </c>
      <c r="D8" s="33" t="n">
        <f aca="false">C8/B8</f>
        <v>6</v>
      </c>
      <c r="E8" s="19" t="n">
        <v>500</v>
      </c>
      <c r="F8" s="13" t="n">
        <f aca="false">B8/E8</f>
        <v>2</v>
      </c>
      <c r="G8" s="19" t="n">
        <v>200</v>
      </c>
      <c r="H8" s="13" t="n">
        <f aca="false">B8/G8</f>
        <v>5</v>
      </c>
      <c r="I8" s="28" t="n">
        <f aca="false">B8/SUM($B$4:$B$11)</f>
        <v>0.0714285714285714</v>
      </c>
    </row>
    <row r="9" customFormat="false" ht="15" hidden="false" customHeight="false" outlineLevel="0" collapsed="false">
      <c r="A9" s="11" t="s">
        <v>62</v>
      </c>
      <c r="B9" s="16" t="n">
        <v>800</v>
      </c>
      <c r="C9" s="16" t="n">
        <v>2400</v>
      </c>
      <c r="D9" s="34" t="n">
        <f aca="false">C9/B9</f>
        <v>3</v>
      </c>
      <c r="E9" s="24" t="n">
        <v>300</v>
      </c>
      <c r="F9" s="16" t="n">
        <f aca="false">B9/E9</f>
        <v>2.66666666666667</v>
      </c>
      <c r="G9" s="24" t="n">
        <v>60</v>
      </c>
      <c r="H9" s="16" t="n">
        <f aca="false">B9/G9</f>
        <v>13.3333333333333</v>
      </c>
      <c r="I9" s="21" t="n">
        <f aca="false">B9/SUM($B$4:$B$11)</f>
        <v>0.0571428571428571</v>
      </c>
    </row>
    <row r="10" customFormat="false" ht="15" hidden="false" customHeight="false" outlineLevel="0" collapsed="false">
      <c r="A10" s="32" t="s">
        <v>63</v>
      </c>
      <c r="B10" s="13" t="n">
        <v>300</v>
      </c>
      <c r="C10" s="13" t="n">
        <v>3600</v>
      </c>
      <c r="D10" s="33" t="n">
        <f aca="false">C10/B10</f>
        <v>12</v>
      </c>
      <c r="E10" s="19" t="n">
        <v>200</v>
      </c>
      <c r="F10" s="13" t="n">
        <f aca="false">B10/E10</f>
        <v>1.5</v>
      </c>
      <c r="G10" s="19" t="n">
        <v>180</v>
      </c>
      <c r="H10" s="13" t="n">
        <f aca="false">B10/G10</f>
        <v>1.66666666666667</v>
      </c>
      <c r="I10" s="28" t="n">
        <f aca="false">B10/SUM($B$4:$B$11)</f>
        <v>0.0214285714285714</v>
      </c>
    </row>
    <row r="11" customFormat="false" ht="15" hidden="false" customHeight="false" outlineLevel="0" collapsed="false">
      <c r="A11" s="11" t="s">
        <v>64</v>
      </c>
      <c r="B11" s="16" t="n">
        <v>400</v>
      </c>
      <c r="C11" s="16" t="n">
        <v>4800</v>
      </c>
      <c r="D11" s="34" t="n">
        <f aca="false">C11/B11</f>
        <v>12</v>
      </c>
      <c r="E11" s="24" t="n">
        <v>350</v>
      </c>
      <c r="F11" s="16" t="n">
        <f aca="false">B11/E11</f>
        <v>1.14285714285714</v>
      </c>
      <c r="G11" s="24" t="n">
        <v>240</v>
      </c>
      <c r="H11" s="16" t="n">
        <f aca="false">B11/G11</f>
        <v>1.66666666666667</v>
      </c>
      <c r="I11" s="21" t="n">
        <f aca="false">B11/SUM($B$4:$B$11)</f>
        <v>0.0285714285714286</v>
      </c>
    </row>
    <row r="12" customFormat="false" ht="18" hidden="false" customHeight="true" outlineLevel="0" collapsed="false">
      <c r="A12" s="35" t="s">
        <v>65</v>
      </c>
      <c r="B12" s="36" t="n">
        <f aca="false">SUM(B4:B11)</f>
        <v>14000</v>
      </c>
      <c r="C12" s="36" t="n">
        <f aca="false">SUM(C4:C11)</f>
        <v>68300</v>
      </c>
      <c r="D12" s="37"/>
      <c r="E12" s="38" t="n">
        <f aca="false">SUM(E4:E11)</f>
        <v>4850</v>
      </c>
      <c r="F12" s="37"/>
      <c r="G12" s="38" t="n">
        <f aca="false">SUM(G4:G11)</f>
        <v>1730</v>
      </c>
      <c r="H12" s="37"/>
      <c r="I12" s="37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10" min="8" style="0" width="10"/>
    <col collapsed="false" customWidth="true" hidden="false" outlineLevel="0" max="22" min="11" style="0" width="8"/>
  </cols>
  <sheetData>
    <row r="1" customFormat="false" ht="24.75" hidden="false" customHeight="true" outlineLevel="0" collapsed="false">
      <c r="A1" s="31" t="s">
        <v>66</v>
      </c>
      <c r="B1" s="31" t="s">
        <v>67</v>
      </c>
      <c r="C1" s="31" t="s">
        <v>68</v>
      </c>
      <c r="D1" s="31" t="s">
        <v>69</v>
      </c>
      <c r="E1" s="31" t="s">
        <v>70</v>
      </c>
      <c r="F1" s="31" t="s">
        <v>71</v>
      </c>
      <c r="G1" s="31" t="s">
        <v>72</v>
      </c>
      <c r="H1" s="31" t="s">
        <v>73</v>
      </c>
      <c r="I1" s="31" t="s">
        <v>74</v>
      </c>
      <c r="J1" s="31" t="s">
        <v>75</v>
      </c>
      <c r="K1" s="31" t="s">
        <v>76</v>
      </c>
      <c r="L1" s="31" t="s">
        <v>77</v>
      </c>
      <c r="M1" s="31" t="s">
        <v>78</v>
      </c>
      <c r="N1" s="31" t="s">
        <v>79</v>
      </c>
      <c r="O1" s="31" t="s">
        <v>80</v>
      </c>
      <c r="P1" s="31" t="s">
        <v>81</v>
      </c>
      <c r="Q1" s="31" t="s">
        <v>82</v>
      </c>
      <c r="R1" s="31" t="s">
        <v>83</v>
      </c>
      <c r="S1" s="31" t="s">
        <v>84</v>
      </c>
      <c r="T1" s="31" t="s">
        <v>85</v>
      </c>
      <c r="U1" s="31" t="s">
        <v>86</v>
      </c>
      <c r="V1" s="31" t="s">
        <v>87</v>
      </c>
    </row>
    <row r="2" customFormat="false" ht="15" hidden="false" customHeight="false" outlineLevel="0" collapsed="false">
      <c r="A2" s="32" t="n">
        <v>1</v>
      </c>
      <c r="B2" s="32" t="s">
        <v>88</v>
      </c>
      <c r="C2" s="32" t="s">
        <v>89</v>
      </c>
      <c r="D2" s="32" t="s">
        <v>90</v>
      </c>
      <c r="E2" s="39" t="n">
        <v>46023</v>
      </c>
      <c r="F2" s="39" t="n">
        <v>46112</v>
      </c>
      <c r="G2" s="40" t="s">
        <v>91</v>
      </c>
      <c r="H2" s="40" t="s">
        <v>92</v>
      </c>
      <c r="I2" s="41" t="n">
        <v>0.75</v>
      </c>
      <c r="J2" s="40" t="s">
        <v>93</v>
      </c>
      <c r="K2" s="40" t="s">
        <v>94</v>
      </c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</row>
    <row r="3" customFormat="false" ht="15" hidden="false" customHeight="false" outlineLevel="0" collapsed="false">
      <c r="A3" s="11" t="n">
        <v>2</v>
      </c>
      <c r="B3" s="11" t="s">
        <v>88</v>
      </c>
      <c r="C3" s="11" t="s">
        <v>95</v>
      </c>
      <c r="D3" s="11" t="s">
        <v>96</v>
      </c>
      <c r="E3" s="42" t="n">
        <v>46068</v>
      </c>
      <c r="F3" s="42" t="n">
        <v>46142</v>
      </c>
      <c r="G3" s="43" t="s">
        <v>91</v>
      </c>
      <c r="H3" s="43" t="s">
        <v>97</v>
      </c>
      <c r="I3" s="44" t="n">
        <v>0.4</v>
      </c>
      <c r="J3" s="43" t="s">
        <v>93</v>
      </c>
      <c r="K3" s="45" t="s">
        <v>94</v>
      </c>
      <c r="L3" s="45" t="s">
        <v>94</v>
      </c>
      <c r="M3" s="43"/>
      <c r="N3" s="43"/>
      <c r="O3" s="43"/>
      <c r="P3" s="43"/>
      <c r="Q3" s="43"/>
      <c r="R3" s="43"/>
      <c r="S3" s="43"/>
      <c r="T3" s="43"/>
      <c r="U3" s="43"/>
      <c r="V3" s="43"/>
    </row>
    <row r="4" customFormat="false" ht="15" hidden="false" customHeight="false" outlineLevel="0" collapsed="false">
      <c r="A4" s="32" t="n">
        <v>3</v>
      </c>
      <c r="B4" s="32" t="s">
        <v>88</v>
      </c>
      <c r="C4" s="32" t="s">
        <v>98</v>
      </c>
      <c r="D4" s="32" t="s">
        <v>96</v>
      </c>
      <c r="E4" s="39" t="n">
        <v>46113</v>
      </c>
      <c r="F4" s="39" t="n">
        <v>46203</v>
      </c>
      <c r="G4" s="40" t="s">
        <v>99</v>
      </c>
      <c r="H4" s="40" t="s">
        <v>97</v>
      </c>
      <c r="I4" s="41" t="n">
        <v>0</v>
      </c>
      <c r="J4" s="40" t="s">
        <v>93</v>
      </c>
      <c r="K4" s="40"/>
      <c r="L4" s="40" t="s">
        <v>94</v>
      </c>
      <c r="M4" s="40" t="s">
        <v>94</v>
      </c>
      <c r="N4" s="40" t="s">
        <v>94</v>
      </c>
      <c r="O4" s="40"/>
      <c r="P4" s="40"/>
      <c r="Q4" s="40"/>
      <c r="R4" s="40"/>
      <c r="S4" s="40"/>
      <c r="T4" s="40"/>
      <c r="U4" s="40"/>
      <c r="V4" s="40"/>
    </row>
    <row r="5" customFormat="false" ht="15" hidden="false" customHeight="false" outlineLevel="0" collapsed="false">
      <c r="A5" s="11" t="n">
        <v>4</v>
      </c>
      <c r="B5" s="11" t="s">
        <v>88</v>
      </c>
      <c r="C5" s="11" t="s">
        <v>100</v>
      </c>
      <c r="D5" s="11" t="s">
        <v>101</v>
      </c>
      <c r="E5" s="42" t="n">
        <v>46023</v>
      </c>
      <c r="F5" s="42" t="n">
        <v>46203</v>
      </c>
      <c r="G5" s="43" t="s">
        <v>91</v>
      </c>
      <c r="H5" s="43" t="s">
        <v>92</v>
      </c>
      <c r="I5" s="44" t="n">
        <v>0.56</v>
      </c>
      <c r="J5" s="43" t="s">
        <v>93</v>
      </c>
      <c r="K5" s="45" t="s">
        <v>94</v>
      </c>
      <c r="L5" s="45" t="s">
        <v>94</v>
      </c>
      <c r="M5" s="45" t="s">
        <v>94</v>
      </c>
      <c r="N5" s="45" t="s">
        <v>94</v>
      </c>
      <c r="O5" s="43"/>
      <c r="P5" s="43"/>
      <c r="Q5" s="43"/>
      <c r="R5" s="43"/>
      <c r="S5" s="43"/>
      <c r="T5" s="43"/>
      <c r="U5" s="43"/>
      <c r="V5" s="43"/>
    </row>
    <row r="6" customFormat="false" ht="15" hidden="false" customHeight="false" outlineLevel="0" collapsed="false">
      <c r="A6" s="32" t="n">
        <v>5</v>
      </c>
      <c r="B6" s="32" t="s">
        <v>88</v>
      </c>
      <c r="C6" s="32" t="s">
        <v>102</v>
      </c>
      <c r="D6" s="32" t="s">
        <v>96</v>
      </c>
      <c r="E6" s="39" t="n">
        <v>46143</v>
      </c>
      <c r="F6" s="39" t="n">
        <v>46265</v>
      </c>
      <c r="G6" s="40" t="s">
        <v>99</v>
      </c>
      <c r="H6" s="40" t="s">
        <v>103</v>
      </c>
      <c r="I6" s="41" t="n">
        <v>0</v>
      </c>
      <c r="J6" s="40" t="s">
        <v>93</v>
      </c>
      <c r="K6" s="40"/>
      <c r="L6" s="40"/>
      <c r="M6" s="40" t="s">
        <v>94</v>
      </c>
      <c r="N6" s="40" t="s">
        <v>94</v>
      </c>
      <c r="O6" s="40" t="s">
        <v>94</v>
      </c>
      <c r="P6" s="40" t="s">
        <v>94</v>
      </c>
      <c r="Q6" s="40"/>
      <c r="R6" s="40"/>
      <c r="S6" s="40"/>
      <c r="T6" s="40"/>
      <c r="U6" s="40"/>
      <c r="V6" s="40"/>
    </row>
    <row r="7" customFormat="false" ht="15" hidden="false" customHeight="false" outlineLevel="0" collapsed="false">
      <c r="A7" s="11" t="n">
        <v>6</v>
      </c>
      <c r="B7" s="11" t="s">
        <v>88</v>
      </c>
      <c r="C7" s="11" t="s">
        <v>104</v>
      </c>
      <c r="D7" s="11" t="s">
        <v>105</v>
      </c>
      <c r="E7" s="42" t="n">
        <v>46174</v>
      </c>
      <c r="F7" s="42" t="n">
        <v>46295</v>
      </c>
      <c r="G7" s="43" t="s">
        <v>99</v>
      </c>
      <c r="H7" s="43" t="s">
        <v>103</v>
      </c>
      <c r="I7" s="44" t="n">
        <v>0</v>
      </c>
      <c r="J7" s="43" t="s">
        <v>93</v>
      </c>
      <c r="K7" s="43"/>
      <c r="L7" s="43"/>
      <c r="M7" s="43"/>
      <c r="N7" s="46" t="s">
        <v>94</v>
      </c>
      <c r="O7" s="46" t="s">
        <v>94</v>
      </c>
      <c r="P7" s="46" t="s">
        <v>94</v>
      </c>
      <c r="Q7" s="46" t="s">
        <v>94</v>
      </c>
      <c r="R7" s="43"/>
      <c r="S7" s="43"/>
      <c r="T7" s="43"/>
      <c r="U7" s="43"/>
      <c r="V7" s="43"/>
    </row>
    <row r="8" customFormat="false" ht="15" hidden="false" customHeight="false" outlineLevel="0" collapsed="false">
      <c r="A8" s="32" t="n">
        <v>7</v>
      </c>
      <c r="B8" s="32" t="s">
        <v>88</v>
      </c>
      <c r="C8" s="32" t="s">
        <v>106</v>
      </c>
      <c r="D8" s="32" t="s">
        <v>107</v>
      </c>
      <c r="E8" s="39" t="n">
        <v>46204</v>
      </c>
      <c r="F8" s="39" t="n">
        <v>46387</v>
      </c>
      <c r="G8" s="40" t="s">
        <v>99</v>
      </c>
      <c r="H8" s="40" t="s">
        <v>97</v>
      </c>
      <c r="I8" s="41" t="n">
        <v>0</v>
      </c>
      <c r="J8" s="40" t="s">
        <v>93</v>
      </c>
      <c r="K8" s="40"/>
      <c r="L8" s="40"/>
      <c r="M8" s="40"/>
      <c r="N8" s="40"/>
      <c r="O8" s="40" t="s">
        <v>94</v>
      </c>
      <c r="P8" s="40" t="s">
        <v>94</v>
      </c>
      <c r="Q8" s="40" t="s">
        <v>94</v>
      </c>
      <c r="R8" s="40" t="s">
        <v>94</v>
      </c>
      <c r="S8" s="40" t="s">
        <v>94</v>
      </c>
      <c r="T8" s="40" t="s">
        <v>94</v>
      </c>
      <c r="U8" s="40"/>
      <c r="V8" s="40"/>
    </row>
    <row r="9" customFormat="false" ht="15" hidden="false" customHeight="false" outlineLevel="0" collapsed="false">
      <c r="A9" s="11" t="n">
        <v>8</v>
      </c>
      <c r="B9" s="11" t="s">
        <v>108</v>
      </c>
      <c r="C9" s="11" t="s">
        <v>109</v>
      </c>
      <c r="D9" s="11" t="s">
        <v>105</v>
      </c>
      <c r="E9" s="42" t="n">
        <v>46023</v>
      </c>
      <c r="F9" s="42" t="n">
        <v>46112</v>
      </c>
      <c r="G9" s="43" t="s">
        <v>110</v>
      </c>
      <c r="H9" s="43" t="s">
        <v>92</v>
      </c>
      <c r="I9" s="44" t="n">
        <v>1</v>
      </c>
      <c r="J9" s="43" t="s">
        <v>93</v>
      </c>
      <c r="K9" s="47" t="s">
        <v>94</v>
      </c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</row>
    <row r="10" customFormat="false" ht="15" hidden="false" customHeight="false" outlineLevel="0" collapsed="false">
      <c r="A10" s="32" t="n">
        <v>9</v>
      </c>
      <c r="B10" s="32" t="s">
        <v>108</v>
      </c>
      <c r="C10" s="32" t="s">
        <v>111</v>
      </c>
      <c r="D10" s="32" t="s">
        <v>105</v>
      </c>
      <c r="E10" s="39" t="n">
        <v>46054</v>
      </c>
      <c r="F10" s="39" t="n">
        <v>46081</v>
      </c>
      <c r="G10" s="40" t="s">
        <v>110</v>
      </c>
      <c r="H10" s="40" t="s">
        <v>97</v>
      </c>
      <c r="I10" s="41" t="n">
        <v>1</v>
      </c>
      <c r="J10" s="40" t="s">
        <v>93</v>
      </c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</row>
    <row r="11" customFormat="false" ht="15" hidden="false" customHeight="false" outlineLevel="0" collapsed="false">
      <c r="A11" s="11" t="n">
        <v>10</v>
      </c>
      <c r="B11" s="11" t="s">
        <v>108</v>
      </c>
      <c r="C11" s="11" t="s">
        <v>112</v>
      </c>
      <c r="D11" s="11" t="s">
        <v>113</v>
      </c>
      <c r="E11" s="42" t="n">
        <v>46023</v>
      </c>
      <c r="F11" s="42" t="n">
        <v>46203</v>
      </c>
      <c r="G11" s="43" t="s">
        <v>91</v>
      </c>
      <c r="H11" s="43" t="s">
        <v>97</v>
      </c>
      <c r="I11" s="44" t="n">
        <v>0.33</v>
      </c>
      <c r="J11" s="43" t="s">
        <v>93</v>
      </c>
      <c r="K11" s="45" t="s">
        <v>94</v>
      </c>
      <c r="L11" s="45" t="s">
        <v>94</v>
      </c>
      <c r="M11" s="45" t="s">
        <v>94</v>
      </c>
      <c r="N11" s="45" t="s">
        <v>94</v>
      </c>
      <c r="O11" s="43"/>
      <c r="P11" s="43"/>
      <c r="Q11" s="43"/>
      <c r="R11" s="43"/>
      <c r="S11" s="43"/>
      <c r="T11" s="43"/>
      <c r="U11" s="43"/>
      <c r="V11" s="43"/>
    </row>
    <row r="12" customFormat="false" ht="15" hidden="false" customHeight="false" outlineLevel="0" collapsed="false">
      <c r="A12" s="32" t="n">
        <v>11</v>
      </c>
      <c r="B12" s="32" t="s">
        <v>108</v>
      </c>
      <c r="C12" s="32" t="s">
        <v>114</v>
      </c>
      <c r="D12" s="32" t="s">
        <v>113</v>
      </c>
      <c r="E12" s="39" t="n">
        <v>46082</v>
      </c>
      <c r="F12" s="39" t="n">
        <v>46265</v>
      </c>
      <c r="G12" s="40" t="s">
        <v>91</v>
      </c>
      <c r="H12" s="40" t="s">
        <v>103</v>
      </c>
      <c r="I12" s="41" t="n">
        <v>0.1</v>
      </c>
      <c r="J12" s="40" t="s">
        <v>93</v>
      </c>
      <c r="K12" s="40" t="s">
        <v>94</v>
      </c>
      <c r="L12" s="40" t="s">
        <v>94</v>
      </c>
      <c r="M12" s="40" t="s">
        <v>94</v>
      </c>
      <c r="N12" s="40" t="s">
        <v>94</v>
      </c>
      <c r="O12" s="40" t="s">
        <v>94</v>
      </c>
      <c r="P12" s="40" t="s">
        <v>94</v>
      </c>
      <c r="Q12" s="40"/>
      <c r="R12" s="40"/>
      <c r="S12" s="40"/>
      <c r="T12" s="40"/>
      <c r="U12" s="40"/>
      <c r="V12" s="40"/>
    </row>
    <row r="13" customFormat="false" ht="15" hidden="false" customHeight="false" outlineLevel="0" collapsed="false">
      <c r="A13" s="11" t="n">
        <v>12</v>
      </c>
      <c r="B13" s="11" t="s">
        <v>108</v>
      </c>
      <c r="C13" s="11" t="s">
        <v>115</v>
      </c>
      <c r="D13" s="11" t="s">
        <v>105</v>
      </c>
      <c r="E13" s="42" t="n">
        <v>46054</v>
      </c>
      <c r="F13" s="42" t="n">
        <v>46173</v>
      </c>
      <c r="G13" s="43" t="s">
        <v>91</v>
      </c>
      <c r="H13" s="43" t="s">
        <v>97</v>
      </c>
      <c r="I13" s="44" t="n">
        <v>0.3</v>
      </c>
      <c r="J13" s="43" t="s">
        <v>93</v>
      </c>
      <c r="K13" s="45" t="s">
        <v>94</v>
      </c>
      <c r="L13" s="45" t="s">
        <v>94</v>
      </c>
      <c r="M13" s="45" t="s">
        <v>94</v>
      </c>
      <c r="N13" s="43"/>
      <c r="O13" s="43"/>
      <c r="P13" s="43"/>
      <c r="Q13" s="43"/>
      <c r="R13" s="43"/>
      <c r="S13" s="43"/>
      <c r="T13" s="43"/>
      <c r="U13" s="43"/>
      <c r="V13" s="43"/>
    </row>
    <row r="14" customFormat="false" ht="15" hidden="false" customHeight="false" outlineLevel="0" collapsed="false">
      <c r="A14" s="32" t="n">
        <v>13</v>
      </c>
      <c r="B14" s="32" t="s">
        <v>108</v>
      </c>
      <c r="C14" s="32" t="s">
        <v>116</v>
      </c>
      <c r="D14" s="32" t="s">
        <v>113</v>
      </c>
      <c r="E14" s="39" t="n">
        <v>46023</v>
      </c>
      <c r="F14" s="39" t="n">
        <v>46203</v>
      </c>
      <c r="G14" s="40" t="s">
        <v>91</v>
      </c>
      <c r="H14" s="40" t="s">
        <v>103</v>
      </c>
      <c r="I14" s="41" t="n">
        <v>0.24</v>
      </c>
      <c r="J14" s="40" t="s">
        <v>93</v>
      </c>
      <c r="K14" s="40" t="s">
        <v>94</v>
      </c>
      <c r="L14" s="40" t="s">
        <v>94</v>
      </c>
      <c r="M14" s="40" t="s">
        <v>94</v>
      </c>
      <c r="N14" s="40" t="s">
        <v>94</v>
      </c>
      <c r="O14" s="40"/>
      <c r="P14" s="40"/>
      <c r="Q14" s="40"/>
      <c r="R14" s="40"/>
      <c r="S14" s="40"/>
      <c r="T14" s="40"/>
      <c r="U14" s="40"/>
      <c r="V14" s="40"/>
    </row>
    <row r="15" customFormat="false" ht="15" hidden="false" customHeight="false" outlineLevel="0" collapsed="false">
      <c r="A15" s="11" t="n">
        <v>14</v>
      </c>
      <c r="B15" s="11" t="s">
        <v>108</v>
      </c>
      <c r="C15" s="11" t="s">
        <v>117</v>
      </c>
      <c r="D15" s="11" t="s">
        <v>105</v>
      </c>
      <c r="E15" s="42" t="n">
        <v>46082</v>
      </c>
      <c r="F15" s="42" t="n">
        <v>46142</v>
      </c>
      <c r="G15" s="43" t="s">
        <v>91</v>
      </c>
      <c r="H15" s="43" t="s">
        <v>103</v>
      </c>
      <c r="I15" s="44" t="n">
        <v>0.2</v>
      </c>
      <c r="J15" s="43" t="s">
        <v>93</v>
      </c>
      <c r="K15" s="45" t="s">
        <v>94</v>
      </c>
      <c r="L15" s="45" t="s">
        <v>94</v>
      </c>
      <c r="M15" s="43"/>
      <c r="N15" s="43"/>
      <c r="O15" s="43"/>
      <c r="P15" s="43"/>
      <c r="Q15" s="43"/>
      <c r="R15" s="43"/>
      <c r="S15" s="43"/>
      <c r="T15" s="43"/>
      <c r="U15" s="43"/>
      <c r="V15" s="43"/>
    </row>
    <row r="16" customFormat="false" ht="15" hidden="false" customHeight="false" outlineLevel="0" collapsed="false">
      <c r="A16" s="32" t="n">
        <v>15</v>
      </c>
      <c r="B16" s="32" t="s">
        <v>108</v>
      </c>
      <c r="C16" s="32" t="s">
        <v>118</v>
      </c>
      <c r="D16" s="32" t="s">
        <v>105</v>
      </c>
      <c r="E16" s="39" t="n">
        <v>46174</v>
      </c>
      <c r="F16" s="39" t="n">
        <v>46203</v>
      </c>
      <c r="G16" s="40" t="s">
        <v>99</v>
      </c>
      <c r="H16" s="40" t="s">
        <v>103</v>
      </c>
      <c r="I16" s="41" t="n">
        <v>0</v>
      </c>
      <c r="J16" s="40" t="s">
        <v>93</v>
      </c>
      <c r="K16" s="40"/>
      <c r="L16" s="40"/>
      <c r="M16" s="40"/>
      <c r="N16" s="40" t="s">
        <v>94</v>
      </c>
      <c r="O16" s="40"/>
      <c r="P16" s="40"/>
      <c r="Q16" s="40"/>
      <c r="R16" s="40"/>
      <c r="S16" s="40"/>
      <c r="T16" s="40"/>
      <c r="U16" s="40"/>
      <c r="V16" s="40"/>
    </row>
    <row r="17" customFormat="false" ht="15" hidden="false" customHeight="false" outlineLevel="0" collapsed="false">
      <c r="A17" s="11" t="n">
        <v>16</v>
      </c>
      <c r="B17" s="11" t="s">
        <v>119</v>
      </c>
      <c r="C17" s="11" t="s">
        <v>120</v>
      </c>
      <c r="D17" s="11" t="s">
        <v>101</v>
      </c>
      <c r="E17" s="42" t="n">
        <v>46023</v>
      </c>
      <c r="F17" s="42" t="n">
        <v>46142</v>
      </c>
      <c r="G17" s="43" t="s">
        <v>91</v>
      </c>
      <c r="H17" s="43" t="s">
        <v>92</v>
      </c>
      <c r="I17" s="44" t="n">
        <v>0.6</v>
      </c>
      <c r="J17" s="43" t="s">
        <v>93</v>
      </c>
      <c r="K17" s="45" t="s">
        <v>94</v>
      </c>
      <c r="L17" s="45" t="s">
        <v>94</v>
      </c>
      <c r="M17" s="43"/>
      <c r="N17" s="43"/>
      <c r="O17" s="43"/>
      <c r="P17" s="43"/>
      <c r="Q17" s="43"/>
      <c r="R17" s="43"/>
      <c r="S17" s="43"/>
      <c r="T17" s="43"/>
      <c r="U17" s="43"/>
      <c r="V17" s="43"/>
    </row>
    <row r="18" customFormat="false" ht="15" hidden="false" customHeight="false" outlineLevel="0" collapsed="false">
      <c r="A18" s="32" t="n">
        <v>17</v>
      </c>
      <c r="B18" s="32" t="s">
        <v>119</v>
      </c>
      <c r="C18" s="32" t="s">
        <v>121</v>
      </c>
      <c r="D18" s="32" t="s">
        <v>101</v>
      </c>
      <c r="E18" s="39" t="n">
        <v>46054</v>
      </c>
      <c r="F18" s="39" t="n">
        <v>46112</v>
      </c>
      <c r="G18" s="40" t="s">
        <v>91</v>
      </c>
      <c r="H18" s="40" t="s">
        <v>97</v>
      </c>
      <c r="I18" s="41" t="n">
        <v>0.8</v>
      </c>
      <c r="J18" s="40" t="s">
        <v>93</v>
      </c>
      <c r="K18" s="40" t="s">
        <v>94</v>
      </c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</row>
    <row r="19" customFormat="false" ht="15" hidden="false" customHeight="false" outlineLevel="0" collapsed="false">
      <c r="A19" s="11" t="n">
        <v>18</v>
      </c>
      <c r="B19" s="11" t="s">
        <v>119</v>
      </c>
      <c r="C19" s="11" t="s">
        <v>122</v>
      </c>
      <c r="D19" s="11" t="s">
        <v>101</v>
      </c>
      <c r="E19" s="42" t="n">
        <v>46113</v>
      </c>
      <c r="F19" s="42" t="n">
        <v>46234</v>
      </c>
      <c r="G19" s="43" t="s">
        <v>99</v>
      </c>
      <c r="H19" s="43" t="s">
        <v>97</v>
      </c>
      <c r="I19" s="44" t="n">
        <v>0</v>
      </c>
      <c r="J19" s="43" t="s">
        <v>93</v>
      </c>
      <c r="K19" s="43"/>
      <c r="L19" s="46" t="s">
        <v>94</v>
      </c>
      <c r="M19" s="46" t="s">
        <v>94</v>
      </c>
      <c r="N19" s="46" t="s">
        <v>94</v>
      </c>
      <c r="O19" s="46" t="s">
        <v>94</v>
      </c>
      <c r="P19" s="43"/>
      <c r="Q19" s="43"/>
      <c r="R19" s="43"/>
      <c r="S19" s="43"/>
      <c r="T19" s="43"/>
      <c r="U19" s="43"/>
      <c r="V19" s="43"/>
    </row>
    <row r="20" customFormat="false" ht="15" hidden="false" customHeight="false" outlineLevel="0" collapsed="false">
      <c r="A20" s="32" t="n">
        <v>19</v>
      </c>
      <c r="B20" s="32" t="s">
        <v>119</v>
      </c>
      <c r="C20" s="32" t="s">
        <v>123</v>
      </c>
      <c r="D20" s="32" t="s">
        <v>101</v>
      </c>
      <c r="E20" s="39" t="n">
        <v>46082</v>
      </c>
      <c r="F20" s="39" t="n">
        <v>46173</v>
      </c>
      <c r="G20" s="40" t="s">
        <v>91</v>
      </c>
      <c r="H20" s="40" t="s">
        <v>92</v>
      </c>
      <c r="I20" s="41" t="n">
        <v>0.25</v>
      </c>
      <c r="J20" s="40" t="s">
        <v>93</v>
      </c>
      <c r="K20" s="40" t="s">
        <v>94</v>
      </c>
      <c r="L20" s="40" t="s">
        <v>94</v>
      </c>
      <c r="M20" s="40" t="s">
        <v>94</v>
      </c>
      <c r="N20" s="40"/>
      <c r="O20" s="40"/>
      <c r="P20" s="40"/>
      <c r="Q20" s="40"/>
      <c r="R20" s="40"/>
      <c r="S20" s="40"/>
      <c r="T20" s="40"/>
      <c r="U20" s="40"/>
      <c r="V20" s="40"/>
    </row>
    <row r="21" customFormat="false" ht="15" hidden="false" customHeight="false" outlineLevel="0" collapsed="false">
      <c r="A21" s="11" t="n">
        <v>20</v>
      </c>
      <c r="B21" s="11" t="s">
        <v>119</v>
      </c>
      <c r="C21" s="11" t="s">
        <v>124</v>
      </c>
      <c r="D21" s="11" t="s">
        <v>101</v>
      </c>
      <c r="E21" s="42" t="n">
        <v>46143</v>
      </c>
      <c r="F21" s="42" t="n">
        <v>46265</v>
      </c>
      <c r="G21" s="43" t="s">
        <v>99</v>
      </c>
      <c r="H21" s="43" t="s">
        <v>103</v>
      </c>
      <c r="I21" s="44" t="n">
        <v>0</v>
      </c>
      <c r="J21" s="43" t="s">
        <v>93</v>
      </c>
      <c r="K21" s="43"/>
      <c r="L21" s="43"/>
      <c r="M21" s="46" t="s">
        <v>94</v>
      </c>
      <c r="N21" s="46" t="s">
        <v>94</v>
      </c>
      <c r="O21" s="46" t="s">
        <v>94</v>
      </c>
      <c r="P21" s="46" t="s">
        <v>94</v>
      </c>
      <c r="Q21" s="43"/>
      <c r="R21" s="43"/>
      <c r="S21" s="43"/>
      <c r="T21" s="43"/>
      <c r="U21" s="43"/>
      <c r="V21" s="43"/>
    </row>
    <row r="22" customFormat="false" ht="15" hidden="false" customHeight="false" outlineLevel="0" collapsed="false">
      <c r="A22" s="32" t="n">
        <v>21</v>
      </c>
      <c r="B22" s="32" t="s">
        <v>119</v>
      </c>
      <c r="C22" s="32" t="s">
        <v>125</v>
      </c>
      <c r="D22" s="32" t="s">
        <v>101</v>
      </c>
      <c r="E22" s="39" t="n">
        <v>46023</v>
      </c>
      <c r="F22" s="39" t="n">
        <v>46081</v>
      </c>
      <c r="G22" s="40" t="s">
        <v>110</v>
      </c>
      <c r="H22" s="40" t="s">
        <v>97</v>
      </c>
      <c r="I22" s="41" t="n">
        <v>1</v>
      </c>
      <c r="J22" s="40" t="s">
        <v>93</v>
      </c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</row>
    <row r="23" customFormat="false" ht="15" hidden="false" customHeight="false" outlineLevel="0" collapsed="false">
      <c r="A23" s="11" t="n">
        <v>22</v>
      </c>
      <c r="B23" s="11" t="s">
        <v>126</v>
      </c>
      <c r="C23" s="11" t="s">
        <v>127</v>
      </c>
      <c r="D23" s="11" t="s">
        <v>128</v>
      </c>
      <c r="E23" s="42" t="n">
        <v>46082</v>
      </c>
      <c r="F23" s="42" t="n">
        <v>46142</v>
      </c>
      <c r="G23" s="43" t="s">
        <v>91</v>
      </c>
      <c r="H23" s="43" t="s">
        <v>92</v>
      </c>
      <c r="I23" s="44" t="n">
        <v>0.5</v>
      </c>
      <c r="J23" s="43" t="s">
        <v>93</v>
      </c>
      <c r="K23" s="45" t="s">
        <v>94</v>
      </c>
      <c r="L23" s="45" t="s">
        <v>94</v>
      </c>
      <c r="M23" s="43"/>
      <c r="N23" s="43"/>
      <c r="O23" s="43"/>
      <c r="P23" s="43"/>
      <c r="Q23" s="43"/>
      <c r="R23" s="43"/>
      <c r="S23" s="43"/>
      <c r="T23" s="43"/>
      <c r="U23" s="43"/>
      <c r="V23" s="43"/>
    </row>
    <row r="24" customFormat="false" ht="15" hidden="false" customHeight="false" outlineLevel="0" collapsed="false">
      <c r="A24" s="32" t="n">
        <v>23</v>
      </c>
      <c r="B24" s="32" t="s">
        <v>126</v>
      </c>
      <c r="C24" s="32" t="s">
        <v>129</v>
      </c>
      <c r="D24" s="32" t="s">
        <v>128</v>
      </c>
      <c r="E24" s="39" t="n">
        <v>46113</v>
      </c>
      <c r="F24" s="39" t="n">
        <v>46173</v>
      </c>
      <c r="G24" s="40" t="s">
        <v>99</v>
      </c>
      <c r="H24" s="40" t="s">
        <v>92</v>
      </c>
      <c r="I24" s="41" t="n">
        <v>0</v>
      </c>
      <c r="J24" s="40" t="s">
        <v>93</v>
      </c>
      <c r="K24" s="40"/>
      <c r="L24" s="40" t="s">
        <v>94</v>
      </c>
      <c r="M24" s="40" t="s">
        <v>94</v>
      </c>
      <c r="N24" s="40"/>
      <c r="O24" s="40"/>
      <c r="P24" s="40"/>
      <c r="Q24" s="40"/>
      <c r="R24" s="40"/>
      <c r="S24" s="40"/>
      <c r="T24" s="40"/>
      <c r="U24" s="40"/>
      <c r="V24" s="40"/>
    </row>
    <row r="25" customFormat="false" ht="15" hidden="false" customHeight="false" outlineLevel="0" collapsed="false">
      <c r="A25" s="11" t="n">
        <v>24</v>
      </c>
      <c r="B25" s="11" t="s">
        <v>126</v>
      </c>
      <c r="C25" s="11" t="s">
        <v>130</v>
      </c>
      <c r="D25" s="11" t="s">
        <v>128</v>
      </c>
      <c r="E25" s="42" t="n">
        <v>46143</v>
      </c>
      <c r="F25" s="42" t="n">
        <v>46203</v>
      </c>
      <c r="G25" s="43" t="s">
        <v>99</v>
      </c>
      <c r="H25" s="43" t="s">
        <v>97</v>
      </c>
      <c r="I25" s="44" t="n">
        <v>0</v>
      </c>
      <c r="J25" s="43" t="s">
        <v>93</v>
      </c>
      <c r="K25" s="43"/>
      <c r="L25" s="43"/>
      <c r="M25" s="46" t="s">
        <v>94</v>
      </c>
      <c r="N25" s="46" t="s">
        <v>94</v>
      </c>
      <c r="O25" s="43"/>
      <c r="P25" s="43"/>
      <c r="Q25" s="43"/>
      <c r="R25" s="43"/>
      <c r="S25" s="43"/>
      <c r="T25" s="43"/>
      <c r="U25" s="43"/>
      <c r="V25" s="43"/>
    </row>
    <row r="26" customFormat="false" ht="15" hidden="false" customHeight="false" outlineLevel="0" collapsed="false">
      <c r="A26" s="32" t="n">
        <v>25</v>
      </c>
      <c r="B26" s="32" t="s">
        <v>96</v>
      </c>
      <c r="C26" s="32" t="s">
        <v>131</v>
      </c>
      <c r="D26" s="32" t="s">
        <v>96</v>
      </c>
      <c r="E26" s="39" t="n">
        <v>46023</v>
      </c>
      <c r="F26" s="39" t="n">
        <v>46081</v>
      </c>
      <c r="G26" s="40" t="s">
        <v>110</v>
      </c>
      <c r="H26" s="40" t="s">
        <v>97</v>
      </c>
      <c r="I26" s="41" t="n">
        <v>1</v>
      </c>
      <c r="J26" s="40" t="s">
        <v>93</v>
      </c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</row>
    <row r="27" customFormat="false" ht="15" hidden="false" customHeight="false" outlineLevel="0" collapsed="false">
      <c r="A27" s="11" t="n">
        <v>26</v>
      </c>
      <c r="B27" s="11" t="s">
        <v>96</v>
      </c>
      <c r="C27" s="11" t="s">
        <v>132</v>
      </c>
      <c r="D27" s="11" t="s">
        <v>96</v>
      </c>
      <c r="E27" s="42" t="n">
        <v>46054</v>
      </c>
      <c r="F27" s="42" t="n">
        <v>46142</v>
      </c>
      <c r="G27" s="43" t="s">
        <v>91</v>
      </c>
      <c r="H27" s="43" t="s">
        <v>97</v>
      </c>
      <c r="I27" s="44" t="n">
        <v>0.45</v>
      </c>
      <c r="J27" s="43" t="s">
        <v>93</v>
      </c>
      <c r="K27" s="45" t="s">
        <v>94</v>
      </c>
      <c r="L27" s="45" t="s">
        <v>94</v>
      </c>
      <c r="M27" s="43"/>
      <c r="N27" s="43"/>
      <c r="O27" s="43"/>
      <c r="P27" s="43"/>
      <c r="Q27" s="43"/>
      <c r="R27" s="43"/>
      <c r="S27" s="43"/>
      <c r="T27" s="43"/>
      <c r="U27" s="43"/>
      <c r="V27" s="43"/>
    </row>
    <row r="28" customFormat="false" ht="15" hidden="false" customHeight="false" outlineLevel="0" collapsed="false">
      <c r="A28" s="32" t="n">
        <v>27</v>
      </c>
      <c r="B28" s="32" t="s">
        <v>96</v>
      </c>
      <c r="C28" s="32" t="s">
        <v>133</v>
      </c>
      <c r="D28" s="32" t="s">
        <v>96</v>
      </c>
      <c r="E28" s="39" t="n">
        <v>46082</v>
      </c>
      <c r="F28" s="39" t="n">
        <v>46173</v>
      </c>
      <c r="G28" s="40" t="s">
        <v>91</v>
      </c>
      <c r="H28" s="40" t="s">
        <v>103</v>
      </c>
      <c r="I28" s="41" t="n">
        <v>0.15</v>
      </c>
      <c r="J28" s="40" t="s">
        <v>93</v>
      </c>
      <c r="K28" s="40" t="s">
        <v>94</v>
      </c>
      <c r="L28" s="40" t="s">
        <v>94</v>
      </c>
      <c r="M28" s="40" t="s">
        <v>94</v>
      </c>
      <c r="N28" s="40"/>
      <c r="O28" s="40"/>
      <c r="P28" s="40"/>
      <c r="Q28" s="40"/>
      <c r="R28" s="40"/>
      <c r="S28" s="40"/>
      <c r="T28" s="40"/>
      <c r="U28" s="40"/>
      <c r="V28" s="40"/>
    </row>
    <row r="29" customFormat="false" ht="15" hidden="false" customHeight="false" outlineLevel="0" collapsed="false">
      <c r="A29" s="11" t="n">
        <v>28</v>
      </c>
      <c r="B29" s="11" t="s">
        <v>96</v>
      </c>
      <c r="C29" s="11" t="s">
        <v>134</v>
      </c>
      <c r="D29" s="11" t="s">
        <v>96</v>
      </c>
      <c r="E29" s="42" t="n">
        <v>46082</v>
      </c>
      <c r="F29" s="42" t="n">
        <v>46142</v>
      </c>
      <c r="G29" s="43" t="s">
        <v>91</v>
      </c>
      <c r="H29" s="43" t="s">
        <v>97</v>
      </c>
      <c r="I29" s="44" t="n">
        <v>0.3</v>
      </c>
      <c r="J29" s="43" t="s">
        <v>93</v>
      </c>
      <c r="K29" s="45" t="s">
        <v>94</v>
      </c>
      <c r="L29" s="45" t="s">
        <v>94</v>
      </c>
      <c r="M29" s="43"/>
      <c r="N29" s="43"/>
      <c r="O29" s="43"/>
      <c r="P29" s="43"/>
      <c r="Q29" s="43"/>
      <c r="R29" s="43"/>
      <c r="S29" s="43"/>
      <c r="T29" s="43"/>
      <c r="U29" s="43"/>
      <c r="V29" s="43"/>
    </row>
    <row r="30" customFormat="false" ht="15" hidden="false" customHeight="false" outlineLevel="0" collapsed="false">
      <c r="A30" s="32" t="n">
        <v>29</v>
      </c>
      <c r="B30" s="32" t="s">
        <v>135</v>
      </c>
      <c r="C30" s="32" t="s">
        <v>136</v>
      </c>
      <c r="D30" s="32" t="s">
        <v>135</v>
      </c>
      <c r="E30" s="39" t="n">
        <v>46113</v>
      </c>
      <c r="F30" s="39" t="n">
        <v>46173</v>
      </c>
      <c r="G30" s="40" t="s">
        <v>99</v>
      </c>
      <c r="H30" s="40" t="s">
        <v>103</v>
      </c>
      <c r="I30" s="41" t="n">
        <v>0</v>
      </c>
      <c r="J30" s="40" t="s">
        <v>93</v>
      </c>
      <c r="K30" s="40"/>
      <c r="L30" s="40" t="s">
        <v>94</v>
      </c>
      <c r="M30" s="40" t="s">
        <v>94</v>
      </c>
      <c r="N30" s="40"/>
      <c r="O30" s="40"/>
      <c r="P30" s="40"/>
      <c r="Q30" s="40"/>
      <c r="R30" s="40"/>
      <c r="S30" s="40"/>
      <c r="T30" s="40"/>
      <c r="U30" s="40"/>
      <c r="V30" s="40"/>
    </row>
    <row r="31" customFormat="false" ht="15" hidden="false" customHeight="false" outlineLevel="0" collapsed="false">
      <c r="A31" s="11" t="n">
        <v>30</v>
      </c>
      <c r="B31" s="11" t="s">
        <v>135</v>
      </c>
      <c r="C31" s="11" t="s">
        <v>137</v>
      </c>
      <c r="D31" s="11" t="s">
        <v>135</v>
      </c>
      <c r="E31" s="42" t="n">
        <v>46143</v>
      </c>
      <c r="F31" s="42" t="n">
        <v>46203</v>
      </c>
      <c r="G31" s="43" t="s">
        <v>99</v>
      </c>
      <c r="H31" s="43" t="s">
        <v>97</v>
      </c>
      <c r="I31" s="44" t="n">
        <v>0</v>
      </c>
      <c r="J31" s="43" t="s">
        <v>93</v>
      </c>
      <c r="K31" s="43"/>
      <c r="L31" s="43"/>
      <c r="M31" s="46" t="s">
        <v>94</v>
      </c>
      <c r="N31" s="46" t="s">
        <v>94</v>
      </c>
      <c r="O31" s="43"/>
      <c r="P31" s="43"/>
      <c r="Q31" s="43"/>
      <c r="R31" s="43"/>
      <c r="S31" s="43"/>
      <c r="T31" s="43"/>
      <c r="U31" s="43"/>
      <c r="V31" s="4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14" min="3" style="0" width="12"/>
  </cols>
  <sheetData>
    <row r="1" customFormat="false" ht="24.75" hidden="false" customHeight="true" outlineLevel="0" collapsed="false">
      <c r="A1" s="31" t="s">
        <v>138</v>
      </c>
      <c r="B1" s="31" t="s">
        <v>139</v>
      </c>
      <c r="C1" s="31" t="s">
        <v>140</v>
      </c>
      <c r="D1" s="31" t="s">
        <v>141</v>
      </c>
      <c r="E1" s="31" t="s">
        <v>142</v>
      </c>
      <c r="F1" s="31" t="s">
        <v>143</v>
      </c>
      <c r="G1" s="31" t="s">
        <v>144</v>
      </c>
      <c r="H1" s="31" t="s">
        <v>145</v>
      </c>
      <c r="I1" s="31" t="s">
        <v>146</v>
      </c>
      <c r="J1" s="31" t="s">
        <v>147</v>
      </c>
      <c r="K1" s="31" t="s">
        <v>148</v>
      </c>
      <c r="L1" s="31" t="s">
        <v>149</v>
      </c>
      <c r="M1" s="31" t="s">
        <v>150</v>
      </c>
      <c r="N1" s="31" t="s">
        <v>151</v>
      </c>
    </row>
    <row r="2" customFormat="false" ht="15" hidden="false" customHeight="false" outlineLevel="0" collapsed="false">
      <c r="A2" s="48" t="s">
        <v>88</v>
      </c>
      <c r="B2" s="49" t="s">
        <v>152</v>
      </c>
      <c r="C2" s="50" t="s">
        <v>94</v>
      </c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customFormat="false" ht="15" hidden="false" customHeight="false" outlineLevel="0" collapsed="false">
      <c r="B3" s="49" t="s">
        <v>153</v>
      </c>
      <c r="C3" s="51"/>
      <c r="D3" s="50" t="s">
        <v>94</v>
      </c>
      <c r="E3" s="50" t="s">
        <v>94</v>
      </c>
      <c r="F3" s="51"/>
      <c r="G3" s="51"/>
      <c r="H3" s="51"/>
      <c r="I3" s="51"/>
      <c r="J3" s="51"/>
      <c r="K3" s="51"/>
      <c r="L3" s="51"/>
      <c r="M3" s="51"/>
      <c r="N3" s="51"/>
    </row>
    <row r="4" customFormat="false" ht="15" hidden="false" customHeight="false" outlineLevel="0" collapsed="false">
      <c r="B4" s="49" t="s">
        <v>154</v>
      </c>
      <c r="C4" s="51"/>
      <c r="D4" s="51"/>
      <c r="E4" s="50" t="s">
        <v>94</v>
      </c>
      <c r="F4" s="50" t="s">
        <v>94</v>
      </c>
      <c r="G4" s="51"/>
      <c r="H4" s="51"/>
      <c r="I4" s="51"/>
      <c r="J4" s="51"/>
      <c r="K4" s="51"/>
      <c r="L4" s="51"/>
      <c r="M4" s="51"/>
      <c r="N4" s="51"/>
    </row>
    <row r="5" customFormat="false" ht="15" hidden="false" customHeight="false" outlineLevel="0" collapsed="false">
      <c r="B5" s="49" t="s">
        <v>155</v>
      </c>
      <c r="C5" s="51"/>
      <c r="D5" s="51"/>
      <c r="E5" s="50" t="s">
        <v>94</v>
      </c>
      <c r="F5" s="50" t="s">
        <v>94</v>
      </c>
      <c r="G5" s="50" t="s">
        <v>94</v>
      </c>
      <c r="H5" s="51"/>
      <c r="I5" s="51"/>
      <c r="J5" s="51"/>
      <c r="K5" s="51"/>
      <c r="L5" s="51"/>
      <c r="M5" s="51"/>
      <c r="N5" s="51"/>
    </row>
    <row r="6" customFormat="false" ht="15" hidden="false" customHeight="false" outlineLevel="0" collapsed="false">
      <c r="A6" s="48" t="s">
        <v>156</v>
      </c>
      <c r="B6" s="49" t="s">
        <v>62</v>
      </c>
      <c r="C6" s="50" t="s">
        <v>94</v>
      </c>
      <c r="D6" s="50" t="s">
        <v>94</v>
      </c>
      <c r="E6" s="50" t="s">
        <v>94</v>
      </c>
      <c r="F6" s="51"/>
      <c r="G6" s="51"/>
      <c r="H6" s="51"/>
      <c r="I6" s="51"/>
      <c r="J6" s="51"/>
      <c r="K6" s="51"/>
      <c r="L6" s="51"/>
      <c r="M6" s="51"/>
      <c r="N6" s="51"/>
    </row>
    <row r="7" customFormat="false" ht="15" hidden="false" customHeight="false" outlineLevel="0" collapsed="false">
      <c r="B7" s="49" t="s">
        <v>157</v>
      </c>
      <c r="C7" s="50" t="s">
        <v>94</v>
      </c>
      <c r="D7" s="50" t="s">
        <v>94</v>
      </c>
      <c r="E7" s="50" t="s">
        <v>94</v>
      </c>
      <c r="F7" s="51"/>
      <c r="G7" s="51"/>
      <c r="H7" s="51"/>
      <c r="I7" s="51"/>
      <c r="J7" s="51"/>
      <c r="K7" s="51"/>
      <c r="L7" s="51"/>
      <c r="M7" s="51"/>
      <c r="N7" s="51"/>
    </row>
    <row r="8" customFormat="false" ht="15" hidden="false" customHeight="false" outlineLevel="0" collapsed="false">
      <c r="B8" s="49" t="s">
        <v>60</v>
      </c>
      <c r="C8" s="51"/>
      <c r="D8" s="50" t="s">
        <v>94</v>
      </c>
      <c r="E8" s="50" t="s">
        <v>94</v>
      </c>
      <c r="F8" s="50" t="s">
        <v>94</v>
      </c>
      <c r="G8" s="50" t="s">
        <v>94</v>
      </c>
      <c r="H8" s="51"/>
      <c r="I8" s="51"/>
      <c r="J8" s="51"/>
      <c r="K8" s="51"/>
      <c r="L8" s="51"/>
      <c r="M8" s="51"/>
      <c r="N8" s="51"/>
    </row>
    <row r="9" customFormat="false" ht="15" hidden="false" customHeight="false" outlineLevel="0" collapsed="false">
      <c r="B9" s="49" t="s">
        <v>158</v>
      </c>
      <c r="C9" s="51"/>
      <c r="D9" s="51"/>
      <c r="E9" s="50" t="s">
        <v>94</v>
      </c>
      <c r="F9" s="50" t="s">
        <v>94</v>
      </c>
      <c r="G9" s="50" t="s">
        <v>94</v>
      </c>
      <c r="H9" s="50" t="s">
        <v>94</v>
      </c>
      <c r="I9" s="51"/>
      <c r="J9" s="51"/>
      <c r="K9" s="51"/>
      <c r="L9" s="51"/>
      <c r="M9" s="51"/>
      <c r="N9" s="51"/>
    </row>
    <row r="10" customFormat="false" ht="15" hidden="false" customHeight="false" outlineLevel="0" collapsed="false">
      <c r="A10" s="48" t="s">
        <v>119</v>
      </c>
      <c r="B10" s="49" t="s">
        <v>159</v>
      </c>
      <c r="C10" s="50" t="s">
        <v>94</v>
      </c>
      <c r="D10" s="50" t="s">
        <v>94</v>
      </c>
      <c r="E10" s="51"/>
      <c r="F10" s="51"/>
      <c r="G10" s="51"/>
      <c r="H10" s="51"/>
      <c r="I10" s="51"/>
      <c r="J10" s="51"/>
      <c r="K10" s="51"/>
      <c r="L10" s="51"/>
      <c r="M10" s="51"/>
      <c r="N10" s="51"/>
    </row>
    <row r="11" customFormat="false" ht="15" hidden="false" customHeight="false" outlineLevel="0" collapsed="false">
      <c r="B11" s="49" t="s">
        <v>160</v>
      </c>
      <c r="C11" s="50" t="s">
        <v>94</v>
      </c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</row>
    <row r="12" customFormat="false" ht="15" hidden="false" customHeight="false" outlineLevel="0" collapsed="false">
      <c r="B12" s="49" t="s">
        <v>122</v>
      </c>
      <c r="C12" s="51"/>
      <c r="D12" s="50" t="s">
        <v>94</v>
      </c>
      <c r="E12" s="50" t="s">
        <v>94</v>
      </c>
      <c r="F12" s="51"/>
      <c r="G12" s="51"/>
      <c r="H12" s="51"/>
      <c r="I12" s="51"/>
      <c r="J12" s="51"/>
      <c r="K12" s="51"/>
      <c r="L12" s="51"/>
      <c r="M12" s="51"/>
      <c r="N12" s="51"/>
    </row>
    <row r="13" customFormat="false" ht="15" hidden="false" customHeight="false" outlineLevel="0" collapsed="false">
      <c r="B13" s="49" t="s">
        <v>161</v>
      </c>
      <c r="C13" s="51"/>
      <c r="D13" s="50" t="s">
        <v>94</v>
      </c>
      <c r="E13" s="50" t="s">
        <v>94</v>
      </c>
      <c r="F13" s="50" t="s">
        <v>94</v>
      </c>
      <c r="G13" s="51"/>
      <c r="H13" s="51"/>
      <c r="I13" s="51"/>
      <c r="J13" s="51"/>
      <c r="K13" s="51"/>
      <c r="L13" s="51"/>
      <c r="M13" s="51"/>
      <c r="N13" s="51"/>
    </row>
    <row r="14" customFormat="false" ht="15" hidden="false" customHeight="false" outlineLevel="0" collapsed="false">
      <c r="A14" s="48" t="s">
        <v>162</v>
      </c>
      <c r="B14" s="49" t="s">
        <v>163</v>
      </c>
      <c r="C14" s="50" t="s">
        <v>94</v>
      </c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</row>
    <row r="15" customFormat="false" ht="15" hidden="false" customHeight="false" outlineLevel="0" collapsed="false">
      <c r="B15" s="49" t="s">
        <v>164</v>
      </c>
      <c r="C15" s="51"/>
      <c r="D15" s="50" t="s">
        <v>94</v>
      </c>
      <c r="E15" s="50" t="s">
        <v>94</v>
      </c>
      <c r="F15" s="51"/>
      <c r="G15" s="51"/>
      <c r="H15" s="51"/>
      <c r="I15" s="51"/>
      <c r="J15" s="51"/>
      <c r="K15" s="51"/>
      <c r="L15" s="51"/>
      <c r="M15" s="51"/>
      <c r="N15" s="51"/>
    </row>
    <row r="16" customFormat="false" ht="15" hidden="false" customHeight="false" outlineLevel="0" collapsed="false">
      <c r="B16" s="49" t="s">
        <v>165</v>
      </c>
      <c r="C16" s="51"/>
      <c r="D16" s="50" t="s">
        <v>94</v>
      </c>
      <c r="E16" s="50" t="s">
        <v>94</v>
      </c>
      <c r="F16" s="51"/>
      <c r="G16" s="51"/>
      <c r="H16" s="51"/>
      <c r="I16" s="51"/>
      <c r="J16" s="51"/>
      <c r="K16" s="51"/>
      <c r="L16" s="51"/>
      <c r="M16" s="51"/>
      <c r="N16" s="51"/>
    </row>
    <row r="17" customFormat="false" ht="15" hidden="false" customHeight="false" outlineLevel="0" collapsed="false">
      <c r="B17" s="49" t="s">
        <v>166</v>
      </c>
      <c r="C17" s="51"/>
      <c r="D17" s="50" t="s">
        <v>94</v>
      </c>
      <c r="E17" s="50" t="s">
        <v>94</v>
      </c>
      <c r="F17" s="51"/>
      <c r="G17" s="51"/>
      <c r="H17" s="51"/>
      <c r="I17" s="51"/>
      <c r="J17" s="51"/>
      <c r="K17" s="51"/>
      <c r="L17" s="51"/>
      <c r="M17" s="51"/>
      <c r="N17" s="51"/>
    </row>
    <row r="18" customFormat="false" ht="15" hidden="false" customHeight="false" outlineLevel="0" collapsed="false">
      <c r="A18" s="48" t="s">
        <v>167</v>
      </c>
      <c r="B18" s="49" t="s">
        <v>168</v>
      </c>
      <c r="C18" s="51"/>
      <c r="D18" s="50" t="s">
        <v>94</v>
      </c>
      <c r="E18" s="50" t="s">
        <v>94</v>
      </c>
      <c r="F18" s="50" t="s">
        <v>94</v>
      </c>
      <c r="G18" s="50" t="s">
        <v>94</v>
      </c>
      <c r="H18" s="51"/>
      <c r="I18" s="51"/>
      <c r="J18" s="51"/>
      <c r="K18" s="51"/>
      <c r="L18" s="51"/>
      <c r="M18" s="51"/>
      <c r="N18" s="51"/>
    </row>
    <row r="19" customFormat="false" ht="15" hidden="false" customHeight="false" outlineLevel="0" collapsed="false">
      <c r="B19" s="49" t="s">
        <v>169</v>
      </c>
      <c r="C19" s="51"/>
      <c r="D19" s="50" t="s">
        <v>94</v>
      </c>
      <c r="E19" s="50" t="s">
        <v>94</v>
      </c>
      <c r="F19" s="50" t="s">
        <v>94</v>
      </c>
      <c r="G19" s="50" t="s">
        <v>94</v>
      </c>
      <c r="H19" s="51"/>
      <c r="I19" s="51"/>
      <c r="J19" s="51"/>
      <c r="K19" s="51"/>
      <c r="L19" s="51"/>
      <c r="M19" s="51"/>
      <c r="N19" s="51"/>
    </row>
    <row r="20" customFormat="false" ht="15" hidden="false" customHeight="false" outlineLevel="0" collapsed="false">
      <c r="B20" s="49" t="s">
        <v>170</v>
      </c>
      <c r="C20" s="51"/>
      <c r="D20" s="51"/>
      <c r="E20" s="50" t="s">
        <v>94</v>
      </c>
      <c r="F20" s="50" t="s">
        <v>94</v>
      </c>
      <c r="G20" s="50" t="s">
        <v>94</v>
      </c>
      <c r="H20" s="50" t="s">
        <v>94</v>
      </c>
      <c r="I20" s="51"/>
      <c r="J20" s="51"/>
      <c r="K20" s="51"/>
      <c r="L20" s="51"/>
      <c r="M20" s="51"/>
      <c r="N20" s="51"/>
    </row>
    <row r="21" customFormat="false" ht="15" hidden="false" customHeight="false" outlineLevel="0" collapsed="false">
      <c r="A21" s="48" t="s">
        <v>107</v>
      </c>
      <c r="B21" s="49" t="s">
        <v>106</v>
      </c>
      <c r="C21" s="51"/>
      <c r="D21" s="51"/>
      <c r="E21" s="50" t="s">
        <v>94</v>
      </c>
      <c r="F21" s="50" t="s">
        <v>94</v>
      </c>
      <c r="G21" s="51"/>
      <c r="H21" s="51"/>
      <c r="I21" s="51"/>
      <c r="J21" s="51"/>
      <c r="K21" s="51"/>
      <c r="L21" s="51"/>
      <c r="M21" s="51"/>
      <c r="N21" s="51"/>
    </row>
    <row r="22" customFormat="false" ht="15" hidden="false" customHeight="false" outlineLevel="0" collapsed="false">
      <c r="B22" s="49" t="s">
        <v>171</v>
      </c>
      <c r="C22" s="50" t="s">
        <v>94</v>
      </c>
      <c r="D22" s="50" t="s">
        <v>94</v>
      </c>
      <c r="E22" s="50" t="s">
        <v>94</v>
      </c>
      <c r="F22" s="51"/>
      <c r="G22" s="51"/>
      <c r="H22" s="51"/>
      <c r="I22" s="51"/>
      <c r="J22" s="51"/>
      <c r="K22" s="51"/>
      <c r="L22" s="51"/>
      <c r="M22" s="51"/>
      <c r="N22" s="51"/>
    </row>
    <row r="23" customFormat="false" ht="15" hidden="false" customHeight="false" outlineLevel="0" collapsed="false">
      <c r="A23" s="48" t="s">
        <v>172</v>
      </c>
      <c r="B23" s="49" t="s">
        <v>173</v>
      </c>
      <c r="C23" s="51"/>
      <c r="D23" s="51"/>
      <c r="E23" s="51"/>
      <c r="F23" s="50" t="s">
        <v>94</v>
      </c>
      <c r="G23" s="50" t="s">
        <v>94</v>
      </c>
      <c r="H23" s="50" t="s">
        <v>94</v>
      </c>
      <c r="I23" s="50" t="s">
        <v>94</v>
      </c>
      <c r="J23" s="50" t="s">
        <v>94</v>
      </c>
      <c r="K23" s="50" t="s">
        <v>94</v>
      </c>
      <c r="L23" s="50" t="s">
        <v>94</v>
      </c>
      <c r="M23" s="50" t="s">
        <v>94</v>
      </c>
      <c r="N23" s="50" t="s">
        <v>94</v>
      </c>
    </row>
    <row r="24" customFormat="false" ht="15" hidden="false" customHeight="false" outlineLevel="0" collapsed="false">
      <c r="B24" s="49" t="s">
        <v>174</v>
      </c>
      <c r="C24" s="51"/>
      <c r="D24" s="51"/>
      <c r="E24" s="50" t="s">
        <v>94</v>
      </c>
      <c r="F24" s="50" t="s">
        <v>94</v>
      </c>
      <c r="G24" s="51"/>
      <c r="H24" s="51"/>
      <c r="I24" s="51"/>
      <c r="J24" s="51"/>
      <c r="K24" s="51"/>
      <c r="L24" s="51"/>
      <c r="M24" s="51"/>
      <c r="N24" s="5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7" min="5" style="0" width="14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24.75" hidden="false" customHeight="true" outlineLevel="0" collapsed="false">
      <c r="A1" s="31" t="s">
        <v>175</v>
      </c>
      <c r="B1" s="31" t="s">
        <v>176</v>
      </c>
      <c r="C1" s="31" t="s">
        <v>177</v>
      </c>
      <c r="D1" s="31" t="s">
        <v>178</v>
      </c>
      <c r="E1" s="31" t="s">
        <v>179</v>
      </c>
      <c r="F1" s="31" t="s">
        <v>180</v>
      </c>
      <c r="G1" s="31" t="s">
        <v>181</v>
      </c>
      <c r="H1" s="31" t="s">
        <v>182</v>
      </c>
      <c r="I1" s="31" t="s">
        <v>72</v>
      </c>
    </row>
    <row r="2" customFormat="false" ht="15" hidden="false" customHeight="false" outlineLevel="0" collapsed="false">
      <c r="A2" s="32" t="s">
        <v>183</v>
      </c>
      <c r="B2" s="32" t="s">
        <v>184</v>
      </c>
      <c r="C2" s="32" t="s">
        <v>185</v>
      </c>
      <c r="D2" s="32" t="s">
        <v>186</v>
      </c>
      <c r="E2" s="14" t="n">
        <v>15000</v>
      </c>
      <c r="F2" s="14" t="n">
        <f aca="false">IF(D2="CLT", E2*0.7, 0)</f>
        <v>0</v>
      </c>
      <c r="G2" s="14" t="n">
        <f aca="false">E2+F2</f>
        <v>15000</v>
      </c>
      <c r="H2" s="52" t="s">
        <v>187</v>
      </c>
      <c r="I2" s="52" t="s">
        <v>188</v>
      </c>
    </row>
    <row r="3" customFormat="false" ht="15" hidden="false" customHeight="false" outlineLevel="0" collapsed="false">
      <c r="A3" s="11"/>
      <c r="B3" s="11" t="s">
        <v>189</v>
      </c>
      <c r="C3" s="11" t="s">
        <v>96</v>
      </c>
      <c r="D3" s="11" t="s">
        <v>190</v>
      </c>
      <c r="E3" s="17" t="n">
        <v>8000</v>
      </c>
      <c r="F3" s="17" t="n">
        <f aca="false">IF(D3="CLT", E3*0.7, 0)</f>
        <v>5600</v>
      </c>
      <c r="G3" s="17" t="n">
        <f aca="false">E3+F3</f>
        <v>13600</v>
      </c>
      <c r="H3" s="53" t="s">
        <v>187</v>
      </c>
      <c r="I3" s="53" t="s">
        <v>188</v>
      </c>
    </row>
    <row r="4" customFormat="false" ht="15" hidden="false" customHeight="false" outlineLevel="0" collapsed="false">
      <c r="A4" s="32"/>
      <c r="B4" s="32" t="s">
        <v>191</v>
      </c>
      <c r="C4" s="32" t="s">
        <v>105</v>
      </c>
      <c r="D4" s="32" t="s">
        <v>190</v>
      </c>
      <c r="E4" s="14" t="n">
        <v>4500</v>
      </c>
      <c r="F4" s="14" t="n">
        <f aca="false">IF(D4="CLT", E4*0.7, 0)</f>
        <v>3150</v>
      </c>
      <c r="G4" s="14" t="n">
        <f aca="false">E4+F4</f>
        <v>7650</v>
      </c>
      <c r="H4" s="52" t="s">
        <v>187</v>
      </c>
      <c r="I4" s="52" t="s">
        <v>188</v>
      </c>
    </row>
    <row r="5" customFormat="false" ht="15" hidden="false" customHeight="false" outlineLevel="0" collapsed="false">
      <c r="A5" s="11"/>
      <c r="B5" s="11" t="s">
        <v>192</v>
      </c>
      <c r="C5" s="11" t="s">
        <v>105</v>
      </c>
      <c r="D5" s="11" t="s">
        <v>190</v>
      </c>
      <c r="E5" s="17" t="n">
        <v>3500</v>
      </c>
      <c r="F5" s="17" t="n">
        <f aca="false">IF(D5="CLT", E5*0.7, 0)</f>
        <v>2450</v>
      </c>
      <c r="G5" s="17" t="n">
        <f aca="false">E5+F5</f>
        <v>5950</v>
      </c>
      <c r="H5" s="53" t="s">
        <v>187</v>
      </c>
      <c r="I5" s="53" t="s">
        <v>188</v>
      </c>
    </row>
    <row r="6" customFormat="false" ht="15" hidden="false" customHeight="false" outlineLevel="0" collapsed="false">
      <c r="A6" s="32"/>
      <c r="B6" s="32" t="s">
        <v>193</v>
      </c>
      <c r="C6" s="32" t="s">
        <v>194</v>
      </c>
      <c r="D6" s="32" t="s">
        <v>186</v>
      </c>
      <c r="E6" s="14" t="n">
        <v>4000</v>
      </c>
      <c r="F6" s="14" t="n">
        <f aca="false">IF(D6="CLT", E6*0.7, 0)</f>
        <v>0</v>
      </c>
      <c r="G6" s="14" t="n">
        <f aca="false">E6+F6</f>
        <v>4000</v>
      </c>
      <c r="H6" s="52" t="s">
        <v>187</v>
      </c>
      <c r="I6" s="52" t="s">
        <v>188</v>
      </c>
    </row>
    <row r="7" customFormat="false" ht="15" hidden="false" customHeight="false" outlineLevel="0" collapsed="false">
      <c r="A7" s="11"/>
      <c r="B7" s="11" t="s">
        <v>195</v>
      </c>
      <c r="C7" s="11" t="s">
        <v>101</v>
      </c>
      <c r="D7" s="11" t="s">
        <v>190</v>
      </c>
      <c r="E7" s="17" t="n">
        <v>2500</v>
      </c>
      <c r="F7" s="17" t="n">
        <f aca="false">IF(D7="CLT", E7*0.7, 0)</f>
        <v>1750</v>
      </c>
      <c r="G7" s="17" t="n">
        <f aca="false">E7+F7</f>
        <v>4250</v>
      </c>
      <c r="H7" s="53" t="s">
        <v>187</v>
      </c>
      <c r="I7" s="53" t="s">
        <v>188</v>
      </c>
    </row>
    <row r="8" customFormat="false" ht="15" hidden="false" customHeight="false" outlineLevel="0" collapsed="false">
      <c r="A8" s="32"/>
      <c r="B8" s="32" t="s">
        <v>196</v>
      </c>
      <c r="C8" s="32" t="s">
        <v>135</v>
      </c>
      <c r="D8" s="32" t="s">
        <v>190</v>
      </c>
      <c r="E8" s="14" t="n">
        <v>2800</v>
      </c>
      <c r="F8" s="14" t="n">
        <f aca="false">IF(D8="CLT", E8*0.7, 0)</f>
        <v>1960</v>
      </c>
      <c r="G8" s="14" t="n">
        <f aca="false">E8+F8</f>
        <v>4760</v>
      </c>
      <c r="H8" s="52" t="s">
        <v>197</v>
      </c>
      <c r="I8" s="52" t="s">
        <v>188</v>
      </c>
    </row>
    <row r="9" customFormat="false" ht="15" hidden="false" customHeight="false" outlineLevel="0" collapsed="false">
      <c r="A9" s="11" t="s">
        <v>198</v>
      </c>
      <c r="B9" s="11" t="s">
        <v>199</v>
      </c>
      <c r="C9" s="11" t="s">
        <v>105</v>
      </c>
      <c r="D9" s="11" t="s">
        <v>190</v>
      </c>
      <c r="E9" s="17" t="n">
        <v>12000</v>
      </c>
      <c r="F9" s="17" t="n">
        <f aca="false">IF(D9="CLT", E9*0.7, 0)</f>
        <v>8400</v>
      </c>
      <c r="G9" s="17" t="n">
        <f aca="false">E9+F9</f>
        <v>20400</v>
      </c>
      <c r="H9" s="53" t="s">
        <v>200</v>
      </c>
      <c r="I9" s="53" t="s">
        <v>201</v>
      </c>
    </row>
    <row r="10" customFormat="false" ht="15" hidden="false" customHeight="false" outlineLevel="0" collapsed="false">
      <c r="A10" s="32"/>
      <c r="B10" s="32" t="s">
        <v>202</v>
      </c>
      <c r="C10" s="32" t="s">
        <v>101</v>
      </c>
      <c r="D10" s="32" t="s">
        <v>190</v>
      </c>
      <c r="E10" s="14" t="n">
        <v>12000</v>
      </c>
      <c r="F10" s="14" t="n">
        <f aca="false">IF(D10="CLT", E10*0.7, 0)</f>
        <v>8400</v>
      </c>
      <c r="G10" s="14" t="n">
        <f aca="false">E10+F10</f>
        <v>20400</v>
      </c>
      <c r="H10" s="52" t="s">
        <v>203</v>
      </c>
      <c r="I10" s="52" t="s">
        <v>201</v>
      </c>
    </row>
    <row r="11" customFormat="false" ht="15" hidden="false" customHeight="false" outlineLevel="0" collapsed="false">
      <c r="A11" s="11"/>
      <c r="B11" s="11" t="s">
        <v>204</v>
      </c>
      <c r="C11" s="11" t="s">
        <v>113</v>
      </c>
      <c r="D11" s="11" t="s">
        <v>186</v>
      </c>
      <c r="E11" s="17" t="n">
        <v>4500</v>
      </c>
      <c r="F11" s="17" t="n">
        <f aca="false">IF(D11="CLT", E11*0.7, 0)</f>
        <v>0</v>
      </c>
      <c r="G11" s="17" t="n">
        <f aca="false">E11+F11</f>
        <v>4500</v>
      </c>
      <c r="H11" s="53" t="s">
        <v>205</v>
      </c>
      <c r="I11" s="53" t="s">
        <v>188</v>
      </c>
    </row>
    <row r="12" customFormat="false" ht="15" hidden="false" customHeight="false" outlineLevel="0" collapsed="false">
      <c r="A12" s="32"/>
      <c r="B12" s="32" t="s">
        <v>206</v>
      </c>
      <c r="C12" s="32" t="s">
        <v>113</v>
      </c>
      <c r="D12" s="32" t="s">
        <v>190</v>
      </c>
      <c r="E12" s="14" t="n">
        <v>3500</v>
      </c>
      <c r="F12" s="14" t="n">
        <f aca="false">IF(D12="CLT", E12*0.7, 0)</f>
        <v>2450</v>
      </c>
      <c r="G12" s="14" t="n">
        <f aca="false">E12+F12</f>
        <v>5950</v>
      </c>
      <c r="H12" s="52" t="s">
        <v>197</v>
      </c>
      <c r="I12" s="52" t="s">
        <v>188</v>
      </c>
    </row>
    <row r="13" customFormat="false" ht="15" hidden="false" customHeight="false" outlineLevel="0" collapsed="false">
      <c r="A13" s="11"/>
      <c r="B13" s="11" t="s">
        <v>207</v>
      </c>
      <c r="C13" s="11" t="s">
        <v>105</v>
      </c>
      <c r="D13" s="11" t="s">
        <v>190</v>
      </c>
      <c r="E13" s="17" t="n">
        <v>3000</v>
      </c>
      <c r="F13" s="17" t="n">
        <f aca="false">IF(D13="CLT", E13*0.7, 0)</f>
        <v>2100</v>
      </c>
      <c r="G13" s="17" t="n">
        <f aca="false">E13+F13</f>
        <v>5100</v>
      </c>
      <c r="H13" s="53" t="s">
        <v>203</v>
      </c>
      <c r="I13" s="53" t="s">
        <v>99</v>
      </c>
    </row>
    <row r="14" customFormat="false" ht="15" hidden="false" customHeight="false" outlineLevel="0" collapsed="false">
      <c r="A14" s="32"/>
      <c r="B14" s="32" t="s">
        <v>208</v>
      </c>
      <c r="C14" s="32" t="s">
        <v>135</v>
      </c>
      <c r="D14" s="32" t="s">
        <v>190</v>
      </c>
      <c r="E14" s="14" t="n">
        <v>4000</v>
      </c>
      <c r="F14" s="14" t="n">
        <f aca="false">IF(D14="CLT", E14*0.7, 0)</f>
        <v>2800</v>
      </c>
      <c r="G14" s="14" t="n">
        <f aca="false">E14+F14</f>
        <v>6800</v>
      </c>
      <c r="H14" s="52" t="s">
        <v>200</v>
      </c>
      <c r="I14" s="52" t="s">
        <v>99</v>
      </c>
    </row>
    <row r="15" customFormat="false" ht="15" hidden="false" customHeight="false" outlineLevel="0" collapsed="false">
      <c r="A15" s="11"/>
      <c r="B15" s="11" t="s">
        <v>209</v>
      </c>
      <c r="C15" s="11" t="s">
        <v>135</v>
      </c>
      <c r="D15" s="11" t="s">
        <v>190</v>
      </c>
      <c r="E15" s="17" t="n">
        <v>5000</v>
      </c>
      <c r="F15" s="17" t="n">
        <f aca="false">IF(D15="CLT", E15*0.7, 0)</f>
        <v>3500</v>
      </c>
      <c r="G15" s="17" t="n">
        <f aca="false">E15+F15</f>
        <v>8500</v>
      </c>
      <c r="H15" s="53" t="s">
        <v>210</v>
      </c>
      <c r="I15" s="53" t="s">
        <v>99</v>
      </c>
    </row>
    <row r="16" customFormat="false" ht="15" hidden="false" customHeight="false" outlineLevel="0" collapsed="false">
      <c r="A16" s="32"/>
      <c r="B16" s="32" t="s">
        <v>211</v>
      </c>
      <c r="C16" s="32" t="s">
        <v>96</v>
      </c>
      <c r="D16" s="32" t="s">
        <v>190</v>
      </c>
      <c r="E16" s="14" t="n">
        <v>7000</v>
      </c>
      <c r="F16" s="14" t="n">
        <f aca="false">IF(D16="CLT", E16*0.7, 0)</f>
        <v>4900</v>
      </c>
      <c r="G16" s="14" t="n">
        <f aca="false">E16+F16</f>
        <v>11900</v>
      </c>
      <c r="H16" s="52" t="s">
        <v>203</v>
      </c>
      <c r="I16" s="52" t="s">
        <v>201</v>
      </c>
    </row>
    <row r="17" customFormat="false" ht="15" hidden="false" customHeight="false" outlineLevel="0" collapsed="false">
      <c r="A17" s="11"/>
      <c r="B17" s="11" t="s">
        <v>212</v>
      </c>
      <c r="C17" s="11" t="s">
        <v>101</v>
      </c>
      <c r="D17" s="11" t="s">
        <v>190</v>
      </c>
      <c r="E17" s="17" t="n">
        <v>6000</v>
      </c>
      <c r="F17" s="17" t="n">
        <f aca="false">IF(D17="CLT", E17*0.7, 0)</f>
        <v>4200</v>
      </c>
      <c r="G17" s="17" t="n">
        <f aca="false">E17+F17</f>
        <v>10200</v>
      </c>
      <c r="H17" s="53" t="s">
        <v>210</v>
      </c>
      <c r="I17" s="53" t="s">
        <v>99</v>
      </c>
    </row>
    <row r="19" customFormat="false" ht="15" hidden="false" customHeight="false" outlineLevel="0" collapsed="false">
      <c r="A19" s="48" t="s">
        <v>213</v>
      </c>
      <c r="G19" s="54" t="n">
        <f aca="false">SUM(G2:G8)</f>
        <v>55210</v>
      </c>
    </row>
    <row r="20" customFormat="false" ht="15" hidden="false" customHeight="false" outlineLevel="0" collapsed="false">
      <c r="A20" s="48" t="s">
        <v>214</v>
      </c>
      <c r="G20" s="54" t="n">
        <f aca="false">SUM(G9:G17)</f>
        <v>93750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2026-03-05T14:08:29Z</dcterms:created>
  <dc:creator>openpyxl</dc:creator>
  <dc:description/>
  <dc:language>en-US</dc:language>
  <cp:lastModifiedBy/>
  <dcterms:modified xsi:type="dcterms:W3CDTF">2026-03-05T14:08:29Z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