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KPIs" sheetId="1" state="visible" r:id="rId3"/>
    <sheet name="Metas 2025-2028" sheetId="2" state="visible" r:id="rId4"/>
    <sheet name="Entregáveis" sheetId="3" state="visible" r:id="rId5"/>
    <sheet name="Estrutura Operacional" sheetId="4" state="visible" r:id="rId6"/>
    <sheet name="Estoque &amp; Fornecedo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<sst xmlns="http://schemas.openxmlformats.org/spreadsheetml/2006/main" count="502" uniqueCount="231">
  <si>
    <t xml:space="preserve">KPI Name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</si>
  <si>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</si>
  <si>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</si>
  <si>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</si>
  <si>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</si>
  <si>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</si>
  <si>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</si>
  <si>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</si>
  <si>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</si>
  <si>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</si>
  <si>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</si>
  <si>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</si>
  <si>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</si>
  <si>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Meta Anual</t>
  </si>
  <si>
    <t xml:space="preserve">Realizado</t>
  </si>
  <si>
    <t xml:space="preserve">% Atingido</t>
  </si>
  <si>
    <t xml:space="preserve">Faturamento Bruto (R$)</t>
  </si>
  <si>
    <t xml:space="preserve">Receita Líquida (R$)</t>
  </si>
  <si>
    <t xml:space="preserve">Ticket Médio (R$)</t>
  </si>
  <si>
    <t xml:space="preserve">Pedidos/Mês</t>
  </si>
  <si>
    <t xml:space="preserve">Visitantes Únicos/Mês</t>
  </si>
  <si>
    <t xml:space="preserve">Taxa de Conversão (%)</t>
  </si>
  <si>
    <t xml:space="preserve">CAC (R$)</t>
  </si>
  <si>
    <t xml:space="preserve">LTV (R$)</t>
  </si>
  <si>
    <t xml:space="preserve">LTV/CAC</t>
  </si>
  <si>
    <t xml:space="preserve">ROAS</t>
  </si>
  <si>
    <t xml:space="preserve">NPS</t>
  </si>
  <si>
    <t xml:space="preserve">Taxa de Recompra (%)</t>
  </si>
  <si>
    <t xml:space="preserve">Margem Bruta (%)</t>
  </si>
  <si>
    <t xml:space="preserve">Giro de Estoque (dias)</t>
  </si>
  <si>
    <t xml:space="preserve">SLA Entrega (% no prazo)</t>
  </si>
  <si>
    <t xml:space="preserve">CSAT (1-5)</t>
  </si>
  <si>
    <t xml:space="preserve">SKUs Ativos</t>
  </si>
  <si>
    <t xml:space="preserve">Taxa de Devolução (%)</t>
  </si>
  <si>
    <t xml:space="preserve">2025</t>
  </si>
  <si>
    <t xml:space="preserve">2026</t>
  </si>
  <si>
    <t xml:space="preserve">2027</t>
  </si>
  <si>
    <t xml:space="preserve">2028</t>
  </si>
  <si>
    <t xml:space="preserve">Faturamento Anual</t>
  </si>
  <si>
    <t xml:space="preserve">Receita Líquida</t>
  </si>
  <si>
    <t xml:space="preserve">Margem Bruta %</t>
  </si>
  <si>
    <t xml:space="preserve">Lucro Bruto</t>
  </si>
  <si>
    <t xml:space="preserve">Equipe</t>
  </si>
  <si>
    <t xml:space="preserve">Custo Folha Estimado</t>
  </si>
  <si>
    <t xml:space="preserve">SKUs</t>
  </si>
  <si>
    <t xml:space="preserve">Clientes/Ano</t>
  </si>
  <si>
    <t xml:space="preserve">Ticket Médio</t>
  </si>
  <si>
    <t xml:space="preserve">CAC</t>
  </si>
  <si>
    <t xml:space="preserve">LTV</t>
  </si>
  <si>
    <t xml:space="preserve">Market Share %</t>
  </si>
  <si>
    <t xml:space="preserve">Área</t>
  </si>
  <si>
    <t xml:space="preserve">Entregável</t>
  </si>
  <si>
    <t xml:space="preserve">Responsável</t>
  </si>
  <si>
    <t xml:space="preserve">Prazo</t>
  </si>
  <si>
    <t xml:space="preserve">Status</t>
  </si>
  <si>
    <t xml:space="preserve">Prioridade</t>
  </si>
  <si>
    <t xml:space="preserve">Observações</t>
  </si>
  <si>
    <t xml:space="preserve">E-commerce</t>
  </si>
  <si>
    <t xml:space="preserve">Setup plataforma VTEX</t>
  </si>
  <si>
    <t xml:space="preserve">Tech Lead</t>
  </si>
  <si>
    <t xml:space="preserve">2025-03-31</t>
  </si>
  <si>
    <t xml:space="preserve">Em Andamento</t>
  </si>
  <si>
    <t xml:space="preserve">Alta</t>
  </si>
  <si>
    <t xml:space="preserve">Critério para lançamento</t>
  </si>
  <si>
    <t xml:space="preserve">Integração pagamentos</t>
  </si>
  <si>
    <t xml:space="preserve">2025-03-15</t>
  </si>
  <si>
    <t xml:space="preserve">Stripe, Pix, Boleto</t>
  </si>
  <si>
    <t xml:space="preserve">Cadastro 500 SKUs</t>
  </si>
  <si>
    <t xml:space="preserve">E-commerce Manager</t>
  </si>
  <si>
    <t xml:space="preserve">2025-04-30</t>
  </si>
  <si>
    <t xml:space="preserve">Pendente</t>
  </si>
  <si>
    <t xml:space="preserve">Base de dados de fornecedores</t>
  </si>
  <si>
    <t xml:space="preserve">SEO técnico</t>
  </si>
  <si>
    <t xml:space="preserve">SEO Specialist</t>
  </si>
  <si>
    <t xml:space="preserve">2025-05-31</t>
  </si>
  <si>
    <t xml:space="preserve">Meta tags, sitemap, robots.txt</t>
  </si>
  <si>
    <t xml:space="preserve">Integração Mercado Livre</t>
  </si>
  <si>
    <t xml:space="preserve">Integração</t>
  </si>
  <si>
    <t xml:space="preserve">2025-06-30</t>
  </si>
  <si>
    <t xml:space="preserve">Média</t>
  </si>
  <si>
    <t xml:space="preserve">Sincronização de estoque</t>
  </si>
  <si>
    <t xml:space="preserve">Marketing</t>
  </si>
  <si>
    <t xml:space="preserve">Setup Meta Ads</t>
  </si>
  <si>
    <t xml:space="preserve">Social Media Manager</t>
  </si>
  <si>
    <t xml:space="preserve">Facebook e Instagram</t>
  </si>
  <si>
    <t xml:space="preserve">Setup Google Ads</t>
  </si>
  <si>
    <t xml:space="preserve">SEM Specialist</t>
  </si>
  <si>
    <t xml:space="preserve">Search e Display</t>
  </si>
  <si>
    <t xml:space="preserve">Criação identidade social</t>
  </si>
  <si>
    <t xml:space="preserve">Criativo</t>
  </si>
  <si>
    <t xml:space="preserve">2025-02-28</t>
  </si>
  <si>
    <t xml:space="preserve">Concluído</t>
  </si>
  <si>
    <t xml:space="preserve">Manual de marca</t>
  </si>
  <si>
    <t xml:space="preserve">Lançamento podcast</t>
  </si>
  <si>
    <t xml:space="preserve">Content Manager</t>
  </si>
  <si>
    <t xml:space="preserve">2025-06-15</t>
  </si>
  <si>
    <t xml:space="preserve">Estratégia de conteúdo</t>
  </si>
  <si>
    <t xml:space="preserve">Calendário editorial 6 meses</t>
  </si>
  <si>
    <t xml:space="preserve">2025-02-15</t>
  </si>
  <si>
    <t xml:space="preserve">Planejamento de posts</t>
  </si>
  <si>
    <t xml:space="preserve">Parcerias influenciadores</t>
  </si>
  <si>
    <t xml:space="preserve">Growth Manager</t>
  </si>
  <si>
    <t xml:space="preserve">KOLs de mobilidade elétrica</t>
  </si>
  <si>
    <t xml:space="preserve">Operações</t>
  </si>
  <si>
    <t xml:space="preserve">Contrato fornecedores</t>
  </si>
  <si>
    <t xml:space="preserve">Operações Manager</t>
  </si>
  <si>
    <t xml:space="preserve">Bateria, motores, pneus</t>
  </si>
  <si>
    <t xml:space="preserve">Setup WMS/ERP</t>
  </si>
  <si>
    <t xml:space="preserve">Sistema de gestão</t>
  </si>
  <si>
    <t xml:space="preserve">Definição curva ABC</t>
  </si>
  <si>
    <t xml:space="preserve">Análise de estoque</t>
  </si>
  <si>
    <t xml:space="preserve">Processo fulfillment</t>
  </si>
  <si>
    <t xml:space="preserve">2025-04-15</t>
  </si>
  <si>
    <t xml:space="preserve">Picking e packing</t>
  </si>
  <si>
    <t xml:space="preserve">Contrato transportadoras</t>
  </si>
  <si>
    <t xml:space="preserve">Frete e logística</t>
  </si>
  <si>
    <t xml:space="preserve">Tech</t>
  </si>
  <si>
    <t xml:space="preserve">Setup analytics GA4</t>
  </si>
  <si>
    <t xml:space="preserve">Data Analyst</t>
  </si>
  <si>
    <t xml:space="preserve">Tracking de eventos</t>
  </si>
  <si>
    <t xml:space="preserve">Integração CRM</t>
  </si>
  <si>
    <t xml:space="preserve">Backend Developer</t>
  </si>
  <si>
    <t xml:space="preserve">Hubspot ou similar</t>
  </si>
  <si>
    <t xml:space="preserve">Chatbot WhatsApp</t>
  </si>
  <si>
    <t xml:space="preserve">Atendimento automático</t>
  </si>
  <si>
    <t xml:space="preserve">App mobile (design)</t>
  </si>
  <si>
    <t xml:space="preserve">Product Designer</t>
  </si>
  <si>
    <t xml:space="preserve">Prototipagem Figma</t>
  </si>
  <si>
    <t xml:space="preserve">Conteúdo</t>
  </si>
  <si>
    <t xml:space="preserve">Produção 30 posts iniciais</t>
  </si>
  <si>
    <t xml:space="preserve">Content Creator</t>
  </si>
  <si>
    <t xml:space="preserve">Redes sociais</t>
  </si>
  <si>
    <t xml:space="preserve">Gravação 4 episódios podcast</t>
  </si>
  <si>
    <t xml:space="preserve">Edição de áudio</t>
  </si>
  <si>
    <t xml:space="preserve">Shooting produtos (500 fotos)</t>
  </si>
  <si>
    <t xml:space="preserve">Fotógrafo</t>
  </si>
  <si>
    <t xml:space="preserve">Studio fotográfico</t>
  </si>
  <si>
    <t xml:space="preserve">Criação blog</t>
  </si>
  <si>
    <t xml:space="preserve">2025-05-15</t>
  </si>
  <si>
    <t xml:space="preserve">Hospedagem e design</t>
  </si>
  <si>
    <t xml:space="preserve">CS</t>
  </si>
  <si>
    <t xml:space="preserve">Setup Zendesk</t>
  </si>
  <si>
    <t xml:space="preserve">CS Manager</t>
  </si>
  <si>
    <t xml:space="preserve">Sistema de tickets</t>
  </si>
  <si>
    <t xml:space="preserve">Treinamento equipe SAC</t>
  </si>
  <si>
    <t xml:space="preserve">Atendimento ao cliente</t>
  </si>
  <si>
    <t xml:space="preserve">Base de conhecimento FAQ</t>
  </si>
  <si>
    <t xml:space="preserve">Central de ajuda</t>
  </si>
  <si>
    <t xml:space="preserve">Fase</t>
  </si>
  <si>
    <t xml:space="preserve">Cargo</t>
  </si>
  <si>
    <t xml:space="preserve">Departamento</t>
  </si>
  <si>
    <t xml:space="preserve">Tipo</t>
  </si>
  <si>
    <t xml:space="preserve">Salário Estimado (R$)</t>
  </si>
  <si>
    <t xml:space="preserve">Prioridade Contratação</t>
  </si>
  <si>
    <t xml:space="preserve">Fase 1</t>
  </si>
  <si>
    <t xml:space="preserve">CEO/Founder</t>
  </si>
  <si>
    <t xml:space="preserve">Gestão</t>
  </si>
  <si>
    <t xml:space="preserve">CLT</t>
  </si>
  <si>
    <t xml:space="preserve">Prioritária</t>
  </si>
  <si>
    <t xml:space="preserve">Contratado</t>
  </si>
  <si>
    <t xml:space="preserve">CTO/Tech Lead</t>
  </si>
  <si>
    <t xml:space="preserve">PJ</t>
  </si>
  <si>
    <t xml:space="preserve">Desenvolvedor Backend</t>
  </si>
  <si>
    <t xml:space="preserve">A Contratar</t>
  </si>
  <si>
    <t xml:space="preserve">Desenvolvedor Frontend</t>
  </si>
  <si>
    <t xml:space="preserve">Fase 2</t>
  </si>
  <si>
    <t xml:space="preserve">CFO</t>
  </si>
  <si>
    <t xml:space="preserve">Product Manager</t>
  </si>
  <si>
    <t xml:space="preserve">Produto</t>
  </si>
  <si>
    <t xml:space="preserve">Agentes SAC (2)</t>
  </si>
  <si>
    <t xml:space="preserve">Fase 3</t>
  </si>
  <si>
    <t xml:space="preserve">VP Marketing</t>
  </si>
  <si>
    <t xml:space="preserve">Não Necessário Ainda</t>
  </si>
  <si>
    <t xml:space="preserve">Gerente Operações</t>
  </si>
  <si>
    <t xml:space="preserve">Specialista Estoque</t>
  </si>
  <si>
    <t xml:space="preserve">QA Engineer</t>
  </si>
  <si>
    <t xml:space="preserve">Fase 4</t>
  </si>
  <si>
    <t xml:space="preserve">VP Tech</t>
  </si>
  <si>
    <t xml:space="preserve">Baixa</t>
  </si>
  <si>
    <t xml:space="preserve">Gerente Infraestrutura</t>
  </si>
  <si>
    <t xml:space="preserve">DevOps Engineer</t>
  </si>
  <si>
    <t xml:space="preserve">DBA</t>
  </si>
  <si>
    <t xml:space="preserve">VP Operações</t>
  </si>
  <si>
    <t xml:space="preserve">Gerente CS</t>
  </si>
  <si>
    <t xml:space="preserve">Agentes SAC (5)</t>
  </si>
  <si>
    <t xml:space="preserve">Contabilista</t>
  </si>
  <si>
    <t xml:space="preserve">SKU</t>
  </si>
  <si>
    <t xml:space="preserve">Categoria</t>
  </si>
  <si>
    <t xml:space="preserve">Fornecedor</t>
  </si>
  <si>
    <t xml:space="preserve">Custo Unitário (R$)</t>
  </si>
  <si>
    <t xml:space="preserve">Preço Venda (R$)</t>
  </si>
  <si>
    <t xml:space="preserve">Margem %</t>
  </si>
  <si>
    <t xml:space="preserve">Estoque Atual</t>
  </si>
  <si>
    <t xml:space="preserve">Estoque Mínimo</t>
  </si>
  <si>
    <t xml:space="preserve">Ponto Reposição</t>
  </si>
  <si>
    <t xml:space="preserve">Curva ABC</t>
  </si>
  <si>
    <t xml:space="preserve">SKU001</t>
  </si>
  <si>
    <t xml:space="preserve">Bateria 48V 20Ah LiFePO4</t>
  </si>
  <si>
    <t xml:space="preserve">Bateria</t>
  </si>
  <si>
    <t xml:space="preserve">Fornecedor Tech</t>
  </si>
  <si>
    <t xml:space="preserve">A</t>
  </si>
  <si>
    <t xml:space="preserve">SKU002</t>
  </si>
  <si>
    <t xml:space="preserve">Motor brushless 1000W</t>
  </si>
  <si>
    <t xml:space="preserve">Motor</t>
  </si>
  <si>
    <t xml:space="preserve">SKU003</t>
  </si>
  <si>
    <t xml:space="preserve">Pneu elétrico 8 polegadas</t>
  </si>
  <si>
    <t xml:space="preserve">Pneu</t>
  </si>
  <si>
    <t xml:space="preserve">Fornecedor Logística</t>
  </si>
  <si>
    <t xml:space="preserve">B</t>
  </si>
  <si>
    <t xml:space="preserve">SKU004</t>
  </si>
  <si>
    <t xml:space="preserve">Freio a disco hidráulico</t>
  </si>
  <si>
    <t xml:space="preserve">Freio</t>
  </si>
  <si>
    <t xml:space="preserve">Fornecedor Peças</t>
  </si>
  <si>
    <t xml:space="preserve">SKU005</t>
  </si>
  <si>
    <t xml:space="preserve">Farol LED frontal</t>
  </si>
  <si>
    <t xml:space="preserve">Iluminação</t>
  </si>
  <si>
    <t xml:space="preserve">Fornecedor Lights</t>
  </si>
  <si>
    <t xml:space="preserve">SKU006</t>
  </si>
  <si>
    <t xml:space="preserve">Guidão ajustável</t>
  </si>
  <si>
    <t xml:space="preserve">Acessório</t>
  </si>
  <si>
    <t xml:space="preserve">Fornecedor Acessórios</t>
  </si>
  <si>
    <t xml:space="preserve">C</t>
  </si>
  <si>
    <t xml:space="preserve">SKU007</t>
  </si>
  <si>
    <t xml:space="preserve">Paralama protetor</t>
  </si>
  <si>
    <t xml:space="preserve">Paralama</t>
  </si>
  <si>
    <t xml:space="preserve">SKU008</t>
  </si>
  <si>
    <t xml:space="preserve">Corrente de transmissão</t>
  </si>
  <si>
    <t xml:space="preserve">SKU009</t>
  </si>
  <si>
    <t xml:space="preserve">Controlador BLDC 48V</t>
  </si>
  <si>
    <t xml:space="preserve">SKU010</t>
  </si>
  <si>
    <t xml:space="preserve">Cinto de segurança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</si>
</sst>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"/>
    <numFmt numFmtId="166" formatCode="0.0%"/>
    <numFmt numFmtId="167" formatCode="#,##0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AFF00"/>
      <name val="Arial"/>
      <family val="0"/>
      <charset val="1"/>
    </font>
    <font>
      <sz val="10"/>
      <name val="Arial"/>
      <family val="0"/>
      <charset val="1"/>
    </font>
    <font>
      <sz val="10"/>
      <color rgb="FF0066CC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5F5F3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4444"/>
        </patternFill>
      </fill>
    </dxf>
    <dxf>
      <fill>
        <patternFill>
          <bgColor rgb="FFFFDD00"/>
        </patternFill>
      </fill>
    </dxf>
    <dxf>
      <fill>
        <patternFill>
          <bgColor rgb="FF44DD44"/>
        </patternFill>
      </fill>
    </dxf>
  </dxfs>
  <colors>
    <indexedColors>
      <rgbColor rgb="FF000000"/>
      <rgbColor rgb="FFF5F5F3"/>
      <rgbColor rgb="FFFF0000"/>
      <rgbColor rgb="FF00FF00"/>
      <rgbColor rgb="FF0000FF"/>
      <rgbColor rgb="FFCA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444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4DD44"/>
      <rgbColor rgb="FF99CC00"/>
      <rgbColor rgb="FFFFDD00"/>
      <rgbColor rgb="FFFF9900"/>
      <rgbColor rgb="FFFF6B00"/>
      <rgbColor rgb="FF6B6B6B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2D46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AFF00"/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15" min="2" style="1" width="14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4" t="n">
        <v>100000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 t="n">
        <v>1200000</v>
      </c>
      <c r="O2" s="4" t="n">
        <f aca="false">AVERAGE(B2:M2)</f>
        <v>100000</v>
      </c>
      <c r="P2" s="6" t="n">
        <f aca="false">IF(N2=0,0,O2/N2)</f>
        <v>0.0833333333333333</v>
      </c>
    </row>
    <row r="3" customFormat="false" ht="15" hidden="false" customHeight="true" outlineLevel="0" collapsed="false">
      <c r="A3" s="3" t="s">
        <v>17</v>
      </c>
      <c r="B3" s="7" t="n">
        <v>85000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 t="n">
        <v>1020000</v>
      </c>
      <c r="O3" s="7" t="n">
        <f aca="false">AVERAGE(B3:M3)</f>
        <v>85000</v>
      </c>
      <c r="P3" s="9" t="n">
        <f aca="false">IF(N3=0,0,O3/N3)</f>
        <v>0.0833333333333333</v>
      </c>
    </row>
    <row r="4" customFormat="false" ht="15" hidden="false" customHeight="true" outlineLevel="0" collapsed="false">
      <c r="A4" s="3" t="s">
        <v>18</v>
      </c>
      <c r="B4" s="4" t="n">
        <v>180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 t="n">
        <v>200</v>
      </c>
      <c r="O4" s="4" t="n">
        <f aca="false">AVERAGE(B4:M4)</f>
        <v>180</v>
      </c>
      <c r="P4" s="6" t="n">
        <f aca="false">IF(N4=0,0,O4/N4)</f>
        <v>0.9</v>
      </c>
    </row>
    <row r="5" customFormat="false" ht="15" hidden="false" customHeight="true" outlineLevel="0" collapsed="false">
      <c r="A5" s="3" t="s">
        <v>19</v>
      </c>
      <c r="B5" s="10" t="n">
        <v>420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 t="n">
        <v>500</v>
      </c>
      <c r="O5" s="10" t="n">
        <f aca="false">AVERAGE(B5:M5)</f>
        <v>420</v>
      </c>
      <c r="P5" s="9" t="n">
        <f aca="false">IF(N5=0,0,O5/N5)</f>
        <v>0.84</v>
      </c>
    </row>
    <row r="6" customFormat="false" ht="15" hidden="false" customHeight="true" outlineLevel="0" collapsed="false">
      <c r="A6" s="3" t="s">
        <v>20</v>
      </c>
      <c r="B6" s="12" t="n">
        <v>28000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 t="n">
        <v>33333</v>
      </c>
      <c r="O6" s="12" t="n">
        <f aca="false">AVERAGE(B6:M6)</f>
        <v>28000</v>
      </c>
      <c r="P6" s="6" t="n">
        <f aca="false">IF(N6=0,0,O6/N6)</f>
        <v>0.840008400084001</v>
      </c>
    </row>
    <row r="7" customFormat="false" ht="15" hidden="false" customHeight="true" outlineLevel="0" collapsed="false">
      <c r="A7" s="3" t="s">
        <v>21</v>
      </c>
      <c r="B7" s="9" t="n">
        <v>0.015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4" t="n">
        <v>0.015</v>
      </c>
      <c r="O7" s="9" t="n">
        <f aca="false">AVERAGE(B7:M7)</f>
        <v>0.015</v>
      </c>
      <c r="P7" s="9" t="n">
        <f aca="false">IF(N7=0,0,O7/N7)</f>
        <v>1</v>
      </c>
    </row>
    <row r="8" customFormat="false" ht="15" hidden="false" customHeight="true" outlineLevel="0" collapsed="false">
      <c r="A8" s="3" t="s">
        <v>22</v>
      </c>
      <c r="B8" s="4" t="n">
        <v>85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n">
        <v>80</v>
      </c>
      <c r="O8" s="4" t="n">
        <f aca="false">AVERAGE(B8:M8)</f>
        <v>85</v>
      </c>
      <c r="P8" s="6" t="n">
        <f aca="false">IF(N8=0,0,O8/N8)</f>
        <v>1.0625</v>
      </c>
    </row>
    <row r="9" customFormat="false" ht="15" hidden="false" customHeight="true" outlineLevel="0" collapsed="false">
      <c r="A9" s="3" t="s">
        <v>23</v>
      </c>
      <c r="B9" s="7" t="n">
        <v>550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 t="n">
        <v>600</v>
      </c>
      <c r="O9" s="7" t="n">
        <f aca="false">AVERAGE(B9:M9)</f>
        <v>550</v>
      </c>
      <c r="P9" s="9" t="n">
        <f aca="false">IF(N9=0,0,O9/N9)</f>
        <v>0.916666666666667</v>
      </c>
    </row>
    <row r="10" customFormat="false" ht="15" hidden="false" customHeight="true" outlineLevel="0" collapsed="false">
      <c r="A10" s="3" t="s">
        <v>24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 t="n">
        <v>0</v>
      </c>
      <c r="O10" s="15" t="e">
        <f aca="false">AVERAGE(B10:M10)</f>
        <v>#DIV/0!</v>
      </c>
      <c r="P10" s="6" t="n">
        <f aca="false">IF(N10=0,0,O10/N10)</f>
        <v>0</v>
      </c>
    </row>
    <row r="11" customFormat="false" ht="15" hidden="false" customHeight="true" outlineLevel="0" collapsed="false">
      <c r="A11" s="3" t="s">
        <v>25</v>
      </c>
      <c r="B11" s="10" t="n">
        <v>42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 t="n">
        <v>4</v>
      </c>
      <c r="O11" s="10" t="n">
        <f aca="false">AVERAGE(B11:M11)</f>
        <v>42</v>
      </c>
      <c r="P11" s="9" t="n">
        <f aca="false">IF(N11=0,0,O11/N11)</f>
        <v>10.5</v>
      </c>
    </row>
    <row r="12" customFormat="false" ht="15" hidden="false" customHeight="true" outlineLevel="0" collapsed="false">
      <c r="A12" s="3" t="s">
        <v>26</v>
      </c>
      <c r="B12" s="12" t="n">
        <v>48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 t="n">
        <v>50</v>
      </c>
      <c r="O12" s="12" t="n">
        <f aca="false">AVERAGE(B12:M12)</f>
        <v>48</v>
      </c>
      <c r="P12" s="6" t="n">
        <f aca="false">IF(N12=0,0,O12/N12)</f>
        <v>0.96</v>
      </c>
    </row>
    <row r="13" customFormat="false" ht="15" hidden="false" customHeight="true" outlineLevel="0" collapsed="false">
      <c r="A13" s="3" t="s">
        <v>27</v>
      </c>
      <c r="B13" s="9" t="n">
        <v>0.12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4" t="n">
        <v>0.15</v>
      </c>
      <c r="O13" s="9" t="n">
        <f aca="false">AVERAGE(B13:M13)</f>
        <v>0.12</v>
      </c>
      <c r="P13" s="9" t="n">
        <f aca="false">IF(N13=0,0,O13/N13)</f>
        <v>0.8</v>
      </c>
    </row>
    <row r="14" customFormat="false" ht="15" hidden="false" customHeight="true" outlineLevel="0" collapsed="false">
      <c r="A14" s="3" t="s">
        <v>28</v>
      </c>
      <c r="B14" s="6" t="n">
        <v>0.33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7" t="n">
        <v>0.35</v>
      </c>
      <c r="O14" s="6" t="n">
        <f aca="false">AVERAGE(B14:M14)</f>
        <v>0.33</v>
      </c>
      <c r="P14" s="6" t="n">
        <f aca="false">IF(N14=0,0,O14/N14)</f>
        <v>0.942857142857143</v>
      </c>
    </row>
    <row r="15" customFormat="false" ht="15" hidden="false" customHeight="true" outlineLevel="0" collapsed="false">
      <c r="A15" s="3" t="s">
        <v>29</v>
      </c>
      <c r="B15" s="10" t="n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 t="n">
        <v>30</v>
      </c>
      <c r="O15" s="10" t="n">
        <f aca="false">AVERAGE(B15:M15)</f>
        <v>28</v>
      </c>
      <c r="P15" s="9" t="n">
        <f aca="false">IF(N15=0,0,O15/N15)</f>
        <v>0.933333333333333</v>
      </c>
    </row>
    <row r="16" customFormat="false" ht="15" hidden="false" customHeight="true" outlineLevel="0" collapsed="false">
      <c r="A16" s="3" t="s">
        <v>30</v>
      </c>
      <c r="B16" s="6" t="n">
        <v>0.92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17" t="n">
        <v>0.95</v>
      </c>
      <c r="O16" s="6" t="n">
        <f aca="false">AVERAGE(B16:M16)</f>
        <v>0.92</v>
      </c>
      <c r="P16" s="6" t="n">
        <f aca="false">IF(N16=0,0,O16/N16)</f>
        <v>0.968421052631579</v>
      </c>
    </row>
    <row r="17" customFormat="false" ht="15" hidden="false" customHeight="true" outlineLevel="0" collapsed="false">
      <c r="A17" s="3" t="s">
        <v>31</v>
      </c>
      <c r="B17" s="10" t="n">
        <v>4.3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 t="n">
        <v>4.5</v>
      </c>
      <c r="O17" s="10" t="n">
        <f aca="false">AVERAGE(B17:M17)</f>
        <v>4.3</v>
      </c>
      <c r="P17" s="9" t="n">
        <f aca="false">IF(N17=0,0,O17/N17)</f>
        <v>0.955555555555556</v>
      </c>
    </row>
    <row r="18" customFormat="false" ht="15" hidden="false" customHeight="true" outlineLevel="0" collapsed="false">
      <c r="A18" s="3" t="s">
        <v>32</v>
      </c>
      <c r="B18" s="12" t="n">
        <v>480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 t="n">
        <v>500</v>
      </c>
      <c r="O18" s="12" t="n">
        <f aca="false">AVERAGE(B18:M18)</f>
        <v>480</v>
      </c>
      <c r="P18" s="6" t="n">
        <f aca="false">IF(N18=0,0,O18/N18)</f>
        <v>0.96</v>
      </c>
    </row>
    <row r="19" customFormat="false" ht="15" hidden="false" customHeight="true" outlineLevel="0" collapsed="false">
      <c r="A19" s="3" t="s">
        <v>33</v>
      </c>
      <c r="B19" s="9" t="n">
        <v>0.025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4" t="n">
        <v>0.03</v>
      </c>
      <c r="O19" s="9" t="n">
        <f aca="false">AVERAGE(B19:M19)</f>
        <v>0.025</v>
      </c>
      <c r="P19" s="9" t="n">
        <f aca="false">IF(N19=0,0,O19/N19)</f>
        <v>0.833333333333333</v>
      </c>
    </row>
  </sheetData>
  <conditionalFormatting sqref="P2:P19">
    <cfRule type="cellIs" priority="2" operator="lessThan" aboveAverage="0" equalAverage="0" bottom="0" percent="0" rank="0" text="" dxfId="0">
      <formula>0.7</formula>
    </cfRule>
    <cfRule type="cellIs" priority="3" operator="between" aboveAverage="0" equalAverage="0" bottom="0" percent="0" rank="0" text="" dxfId="1">
      <formula>0.7</formula>
      <formula>0.99</formula>
    </cfRule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659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18"/>
  </cols>
  <sheetData>
    <row r="1" customFormat="false" ht="15" hidden="false" customHeight="true" outlineLevel="0" collapsed="false">
      <c r="B1" s="2" t="s">
        <v>34</v>
      </c>
      <c r="C1" s="2" t="s">
        <v>35</v>
      </c>
      <c r="D1" s="2" t="s">
        <v>36</v>
      </c>
      <c r="E1" s="2" t="s">
        <v>37</v>
      </c>
    </row>
    <row r="2" customFormat="false" ht="15" hidden="false" customHeight="true" outlineLevel="0" collapsed="false">
      <c r="A2" s="18" t="s">
        <v>38</v>
      </c>
      <c r="B2" s="5" t="n">
        <v>1200000</v>
      </c>
      <c r="C2" s="19" t="n">
        <v>6000000</v>
      </c>
      <c r="D2" s="19" t="n">
        <v>24000000</v>
      </c>
      <c r="E2" s="19" t="n">
        <v>68000000</v>
      </c>
    </row>
    <row r="3" customFormat="false" ht="15" hidden="false" customHeight="true" outlineLevel="0" collapsed="false">
      <c r="A3" s="18" t="s">
        <v>39</v>
      </c>
      <c r="B3" s="8" t="n">
        <v>1020000</v>
      </c>
      <c r="C3" s="20" t="n">
        <v>5100000</v>
      </c>
      <c r="D3" s="20" t="n">
        <v>20160000</v>
      </c>
      <c r="E3" s="20" t="n">
        <v>57800000</v>
      </c>
    </row>
    <row r="4" customFormat="false" ht="15" hidden="false" customHeight="true" outlineLevel="0" collapsed="false">
      <c r="A4" s="18" t="s">
        <v>40</v>
      </c>
      <c r="B4" s="17" t="n">
        <v>0.35</v>
      </c>
      <c r="C4" s="21" t="n">
        <v>0.38</v>
      </c>
      <c r="D4" s="21" t="n">
        <v>0.42</v>
      </c>
      <c r="E4" s="21" t="n">
        <v>0.45</v>
      </c>
    </row>
    <row r="5" customFormat="false" ht="15" hidden="false" customHeight="true" outlineLevel="0" collapsed="false">
      <c r="A5" s="18" t="s">
        <v>41</v>
      </c>
      <c r="B5" s="20" t="n">
        <v>420000</v>
      </c>
      <c r="C5" s="20" t="n">
        <v>1900000</v>
      </c>
      <c r="D5" s="20" t="n">
        <v>10080000</v>
      </c>
      <c r="E5" s="20" t="n">
        <v>26010000</v>
      </c>
    </row>
    <row r="6" customFormat="false" ht="15" hidden="false" customHeight="true" outlineLevel="0" collapsed="false">
      <c r="A6" s="18" t="s">
        <v>42</v>
      </c>
      <c r="B6" s="13" t="n">
        <v>6.5</v>
      </c>
      <c r="C6" s="22" t="n">
        <v>15</v>
      </c>
      <c r="D6" s="22" t="n">
        <v>30</v>
      </c>
      <c r="E6" s="22" t="n">
        <v>60</v>
      </c>
    </row>
    <row r="7" customFormat="false" ht="15" hidden="false" customHeight="true" outlineLevel="0" collapsed="false">
      <c r="A7" s="18" t="s">
        <v>43</v>
      </c>
      <c r="B7" s="8" t="n">
        <v>65000</v>
      </c>
      <c r="C7" s="20" t="n">
        <v>150000</v>
      </c>
      <c r="D7" s="20" t="n">
        <v>300000</v>
      </c>
      <c r="E7" s="20" t="n">
        <v>600000</v>
      </c>
    </row>
    <row r="8" customFormat="false" ht="15" hidden="false" customHeight="true" outlineLevel="0" collapsed="false">
      <c r="A8" s="18" t="s">
        <v>44</v>
      </c>
      <c r="B8" s="13" t="n">
        <v>500</v>
      </c>
      <c r="C8" s="22" t="n">
        <v>1500</v>
      </c>
      <c r="D8" s="22" t="n">
        <v>3000</v>
      </c>
      <c r="E8" s="22" t="n">
        <v>5000</v>
      </c>
    </row>
    <row r="9" customFormat="false" ht="15" hidden="false" customHeight="true" outlineLevel="0" collapsed="false">
      <c r="A9" s="18" t="s">
        <v>45</v>
      </c>
      <c r="B9" s="11" t="n">
        <v>6000</v>
      </c>
      <c r="C9" s="23" t="n">
        <v>30000</v>
      </c>
      <c r="D9" s="23" t="n">
        <v>120000</v>
      </c>
      <c r="E9" s="23" t="n">
        <v>340000</v>
      </c>
    </row>
    <row r="10" customFormat="false" ht="15" hidden="false" customHeight="true" outlineLevel="0" collapsed="false">
      <c r="A10" s="18" t="s">
        <v>46</v>
      </c>
      <c r="B10" s="5" t="n">
        <v>200</v>
      </c>
      <c r="C10" s="19" t="n">
        <v>200</v>
      </c>
      <c r="D10" s="19" t="n">
        <v>200</v>
      </c>
      <c r="E10" s="19" t="n">
        <v>200</v>
      </c>
    </row>
    <row r="11" customFormat="false" ht="15" hidden="false" customHeight="true" outlineLevel="0" collapsed="false">
      <c r="A11" s="18" t="s">
        <v>47</v>
      </c>
      <c r="B11" s="8" t="n">
        <v>80</v>
      </c>
      <c r="C11" s="20" t="n">
        <v>75</v>
      </c>
      <c r="D11" s="20" t="n">
        <v>70</v>
      </c>
      <c r="E11" s="20" t="n">
        <v>65</v>
      </c>
    </row>
    <row r="12" customFormat="false" ht="15" hidden="false" customHeight="true" outlineLevel="0" collapsed="false">
      <c r="A12" s="18" t="s">
        <v>48</v>
      </c>
      <c r="B12" s="5" t="n">
        <v>600</v>
      </c>
      <c r="C12" s="19" t="n">
        <v>700</v>
      </c>
      <c r="D12" s="19" t="n">
        <v>800</v>
      </c>
      <c r="E12" s="19" t="n">
        <v>900</v>
      </c>
    </row>
    <row r="13" customFormat="false" ht="15" hidden="false" customHeight="true" outlineLevel="0" collapsed="false">
      <c r="A13" s="18" t="s">
        <v>24</v>
      </c>
      <c r="B13" s="24" t="n">
        <v>7.5</v>
      </c>
      <c r="C13" s="24" t="n">
        <v>9.33</v>
      </c>
      <c r="D13" s="24" t="n">
        <v>11.43</v>
      </c>
      <c r="E13" s="24" t="n">
        <v>13.85</v>
      </c>
    </row>
    <row r="14" customFormat="false" ht="15" hidden="false" customHeight="true" outlineLevel="0" collapsed="false">
      <c r="A14" s="18" t="s">
        <v>49</v>
      </c>
      <c r="B14" s="17" t="n">
        <v>0.5</v>
      </c>
      <c r="C14" s="21" t="n">
        <v>2</v>
      </c>
      <c r="D14" s="21" t="n">
        <v>6</v>
      </c>
      <c r="E14" s="21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00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5" min="4" style="1" width="15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customFormat="false" ht="15" hidden="false" customHeight="true" outlineLevel="0" collapsed="false">
      <c r="A2" s="25" t="s">
        <v>57</v>
      </c>
      <c r="B2" s="25" t="s">
        <v>58</v>
      </c>
      <c r="C2" s="25" t="s">
        <v>59</v>
      </c>
      <c r="D2" s="25" t="s">
        <v>60</v>
      </c>
      <c r="E2" s="25" t="s">
        <v>61</v>
      </c>
      <c r="F2" s="25" t="s">
        <v>62</v>
      </c>
      <c r="G2" s="25" t="s">
        <v>63</v>
      </c>
    </row>
    <row r="3" customFormat="false" ht="15" hidden="false" customHeight="true" outlineLevel="0" collapsed="false">
      <c r="A3" s="26" t="s">
        <v>57</v>
      </c>
      <c r="B3" s="26" t="s">
        <v>64</v>
      </c>
      <c r="C3" s="26" t="s">
        <v>59</v>
      </c>
      <c r="D3" s="26" t="s">
        <v>65</v>
      </c>
      <c r="E3" s="26" t="s">
        <v>61</v>
      </c>
      <c r="F3" s="26" t="s">
        <v>62</v>
      </c>
      <c r="G3" s="26" t="s">
        <v>66</v>
      </c>
    </row>
    <row r="4" customFormat="false" ht="15" hidden="false" customHeight="true" outlineLevel="0" collapsed="false">
      <c r="A4" s="25" t="s">
        <v>57</v>
      </c>
      <c r="B4" s="25" t="s">
        <v>67</v>
      </c>
      <c r="C4" s="25" t="s">
        <v>68</v>
      </c>
      <c r="D4" s="25" t="s">
        <v>69</v>
      </c>
      <c r="E4" s="25" t="s">
        <v>70</v>
      </c>
      <c r="F4" s="25" t="s">
        <v>62</v>
      </c>
      <c r="G4" s="25" t="s">
        <v>71</v>
      </c>
    </row>
    <row r="5" customFormat="false" ht="15" hidden="false" customHeight="true" outlineLevel="0" collapsed="false">
      <c r="A5" s="26" t="s">
        <v>57</v>
      </c>
      <c r="B5" s="26" t="s">
        <v>72</v>
      </c>
      <c r="C5" s="26" t="s">
        <v>73</v>
      </c>
      <c r="D5" s="26" t="s">
        <v>74</v>
      </c>
      <c r="E5" s="26" t="s">
        <v>70</v>
      </c>
      <c r="F5" s="26" t="s">
        <v>62</v>
      </c>
      <c r="G5" s="26" t="s">
        <v>75</v>
      </c>
    </row>
    <row r="6" customFormat="false" ht="15" hidden="false" customHeight="true" outlineLevel="0" collapsed="false">
      <c r="A6" s="25" t="s">
        <v>57</v>
      </c>
      <c r="B6" s="25" t="s">
        <v>76</v>
      </c>
      <c r="C6" s="25" t="s">
        <v>77</v>
      </c>
      <c r="D6" s="25" t="s">
        <v>78</v>
      </c>
      <c r="E6" s="25" t="s">
        <v>70</v>
      </c>
      <c r="F6" s="25" t="s">
        <v>79</v>
      </c>
      <c r="G6" s="25" t="s">
        <v>80</v>
      </c>
    </row>
    <row r="7" customFormat="false" ht="15" hidden="false" customHeight="true" outlineLevel="0" collapsed="false">
      <c r="A7" s="26" t="s">
        <v>81</v>
      </c>
      <c r="B7" s="26" t="s">
        <v>82</v>
      </c>
      <c r="C7" s="26" t="s">
        <v>83</v>
      </c>
      <c r="D7" s="26" t="s">
        <v>65</v>
      </c>
      <c r="E7" s="26" t="s">
        <v>61</v>
      </c>
      <c r="F7" s="26" t="s">
        <v>62</v>
      </c>
      <c r="G7" s="26" t="s">
        <v>84</v>
      </c>
    </row>
    <row r="8" customFormat="false" ht="15" hidden="false" customHeight="true" outlineLevel="0" collapsed="false">
      <c r="A8" s="25" t="s">
        <v>81</v>
      </c>
      <c r="B8" s="25" t="s">
        <v>85</v>
      </c>
      <c r="C8" s="25" t="s">
        <v>86</v>
      </c>
      <c r="D8" s="25" t="s">
        <v>65</v>
      </c>
      <c r="E8" s="25" t="s">
        <v>61</v>
      </c>
      <c r="F8" s="25" t="s">
        <v>62</v>
      </c>
      <c r="G8" s="25" t="s">
        <v>87</v>
      </c>
    </row>
    <row r="9" customFormat="false" ht="15" hidden="false" customHeight="true" outlineLevel="0" collapsed="false">
      <c r="A9" s="26" t="s">
        <v>81</v>
      </c>
      <c r="B9" s="26" t="s">
        <v>88</v>
      </c>
      <c r="C9" s="26" t="s">
        <v>89</v>
      </c>
      <c r="D9" s="26" t="s">
        <v>90</v>
      </c>
      <c r="E9" s="26" t="s">
        <v>91</v>
      </c>
      <c r="F9" s="26" t="s">
        <v>62</v>
      </c>
      <c r="G9" s="26" t="s">
        <v>92</v>
      </c>
    </row>
    <row r="10" customFormat="false" ht="15" hidden="false" customHeight="true" outlineLevel="0" collapsed="false">
      <c r="A10" s="25" t="s">
        <v>81</v>
      </c>
      <c r="B10" s="25" t="s">
        <v>93</v>
      </c>
      <c r="C10" s="25" t="s">
        <v>94</v>
      </c>
      <c r="D10" s="25" t="s">
        <v>95</v>
      </c>
      <c r="E10" s="25" t="s">
        <v>70</v>
      </c>
      <c r="F10" s="25" t="s">
        <v>79</v>
      </c>
      <c r="G10" s="25" t="s">
        <v>96</v>
      </c>
    </row>
    <row r="11" customFormat="false" ht="15" hidden="false" customHeight="true" outlineLevel="0" collapsed="false">
      <c r="A11" s="26" t="s">
        <v>81</v>
      </c>
      <c r="B11" s="26" t="s">
        <v>97</v>
      </c>
      <c r="C11" s="26" t="s">
        <v>94</v>
      </c>
      <c r="D11" s="26" t="s">
        <v>98</v>
      </c>
      <c r="E11" s="26" t="s">
        <v>91</v>
      </c>
      <c r="F11" s="26" t="s">
        <v>62</v>
      </c>
      <c r="G11" s="26" t="s">
        <v>99</v>
      </c>
    </row>
    <row r="12" customFormat="false" ht="15" hidden="false" customHeight="true" outlineLevel="0" collapsed="false">
      <c r="A12" s="25" t="s">
        <v>81</v>
      </c>
      <c r="B12" s="25" t="s">
        <v>100</v>
      </c>
      <c r="C12" s="25" t="s">
        <v>101</v>
      </c>
      <c r="D12" s="25" t="s">
        <v>69</v>
      </c>
      <c r="E12" s="25" t="s">
        <v>70</v>
      </c>
      <c r="F12" s="25" t="s">
        <v>79</v>
      </c>
      <c r="G12" s="25" t="s">
        <v>102</v>
      </c>
    </row>
    <row r="13" customFormat="false" ht="15" hidden="false" customHeight="true" outlineLevel="0" collapsed="false">
      <c r="A13" s="26" t="s">
        <v>103</v>
      </c>
      <c r="B13" s="26" t="s">
        <v>104</v>
      </c>
      <c r="C13" s="26" t="s">
        <v>105</v>
      </c>
      <c r="D13" s="26" t="s">
        <v>60</v>
      </c>
      <c r="E13" s="26" t="s">
        <v>61</v>
      </c>
      <c r="F13" s="26" t="s">
        <v>62</v>
      </c>
      <c r="G13" s="26" t="s">
        <v>106</v>
      </c>
    </row>
    <row r="14" customFormat="false" ht="15" hidden="false" customHeight="true" outlineLevel="0" collapsed="false">
      <c r="A14" s="25" t="s">
        <v>103</v>
      </c>
      <c r="B14" s="25" t="s">
        <v>107</v>
      </c>
      <c r="C14" s="25" t="s">
        <v>105</v>
      </c>
      <c r="D14" s="25" t="s">
        <v>69</v>
      </c>
      <c r="E14" s="25" t="s">
        <v>70</v>
      </c>
      <c r="F14" s="25" t="s">
        <v>62</v>
      </c>
      <c r="G14" s="25" t="s">
        <v>108</v>
      </c>
    </row>
    <row r="15" customFormat="false" ht="15" hidden="false" customHeight="true" outlineLevel="0" collapsed="false">
      <c r="A15" s="26" t="s">
        <v>103</v>
      </c>
      <c r="B15" s="26" t="s">
        <v>109</v>
      </c>
      <c r="C15" s="26" t="s">
        <v>105</v>
      </c>
      <c r="D15" s="26" t="s">
        <v>65</v>
      </c>
      <c r="E15" s="26" t="s">
        <v>70</v>
      </c>
      <c r="F15" s="26" t="s">
        <v>79</v>
      </c>
      <c r="G15" s="26" t="s">
        <v>110</v>
      </c>
    </row>
    <row r="16" customFormat="false" ht="15" hidden="false" customHeight="true" outlineLevel="0" collapsed="false">
      <c r="A16" s="25" t="s">
        <v>103</v>
      </c>
      <c r="B16" s="25" t="s">
        <v>111</v>
      </c>
      <c r="C16" s="25" t="s">
        <v>105</v>
      </c>
      <c r="D16" s="25" t="s">
        <v>112</v>
      </c>
      <c r="E16" s="25" t="s">
        <v>70</v>
      </c>
      <c r="F16" s="25" t="s">
        <v>62</v>
      </c>
      <c r="G16" s="25" t="s">
        <v>113</v>
      </c>
    </row>
    <row r="17" customFormat="false" ht="15" hidden="false" customHeight="true" outlineLevel="0" collapsed="false">
      <c r="A17" s="26" t="s">
        <v>103</v>
      </c>
      <c r="B17" s="26" t="s">
        <v>114</v>
      </c>
      <c r="C17" s="26" t="s">
        <v>105</v>
      </c>
      <c r="D17" s="26" t="s">
        <v>60</v>
      </c>
      <c r="E17" s="26" t="s">
        <v>61</v>
      </c>
      <c r="F17" s="26" t="s">
        <v>62</v>
      </c>
      <c r="G17" s="26" t="s">
        <v>115</v>
      </c>
    </row>
    <row r="18" customFormat="false" ht="15" hidden="false" customHeight="true" outlineLevel="0" collapsed="false">
      <c r="A18" s="25" t="s">
        <v>116</v>
      </c>
      <c r="B18" s="25" t="s">
        <v>117</v>
      </c>
      <c r="C18" s="25" t="s">
        <v>118</v>
      </c>
      <c r="D18" s="25" t="s">
        <v>65</v>
      </c>
      <c r="E18" s="25" t="s">
        <v>70</v>
      </c>
      <c r="F18" s="25" t="s">
        <v>62</v>
      </c>
      <c r="G18" s="25" t="s">
        <v>119</v>
      </c>
    </row>
    <row r="19" customFormat="false" ht="15" hidden="false" customHeight="true" outlineLevel="0" collapsed="false">
      <c r="A19" s="26" t="s">
        <v>116</v>
      </c>
      <c r="B19" s="26" t="s">
        <v>120</v>
      </c>
      <c r="C19" s="26" t="s">
        <v>121</v>
      </c>
      <c r="D19" s="26" t="s">
        <v>69</v>
      </c>
      <c r="E19" s="26" t="s">
        <v>70</v>
      </c>
      <c r="F19" s="26" t="s">
        <v>62</v>
      </c>
      <c r="G19" s="26" t="s">
        <v>122</v>
      </c>
    </row>
    <row r="20" customFormat="false" ht="15" hidden="false" customHeight="true" outlineLevel="0" collapsed="false">
      <c r="A20" s="25" t="s">
        <v>116</v>
      </c>
      <c r="B20" s="25" t="s">
        <v>123</v>
      </c>
      <c r="C20" s="25" t="s">
        <v>121</v>
      </c>
      <c r="D20" s="25" t="s">
        <v>74</v>
      </c>
      <c r="E20" s="25" t="s">
        <v>70</v>
      </c>
      <c r="F20" s="25" t="s">
        <v>79</v>
      </c>
      <c r="G20" s="25" t="s">
        <v>124</v>
      </c>
    </row>
    <row r="21" customFormat="false" ht="15" hidden="false" customHeight="true" outlineLevel="0" collapsed="false">
      <c r="A21" s="26" t="s">
        <v>116</v>
      </c>
      <c r="B21" s="26" t="s">
        <v>125</v>
      </c>
      <c r="C21" s="26" t="s">
        <v>126</v>
      </c>
      <c r="D21" s="26" t="s">
        <v>78</v>
      </c>
      <c r="E21" s="26" t="s">
        <v>70</v>
      </c>
      <c r="F21" s="26" t="s">
        <v>79</v>
      </c>
      <c r="G21" s="26" t="s">
        <v>127</v>
      </c>
    </row>
    <row r="22" customFormat="false" ht="15" hidden="false" customHeight="true" outlineLevel="0" collapsed="false">
      <c r="A22" s="25" t="s">
        <v>128</v>
      </c>
      <c r="B22" s="25" t="s">
        <v>129</v>
      </c>
      <c r="C22" s="25" t="s">
        <v>130</v>
      </c>
      <c r="D22" s="25" t="s">
        <v>60</v>
      </c>
      <c r="E22" s="25" t="s">
        <v>70</v>
      </c>
      <c r="F22" s="25" t="s">
        <v>62</v>
      </c>
      <c r="G22" s="25" t="s">
        <v>131</v>
      </c>
    </row>
    <row r="23" customFormat="false" ht="15" hidden="false" customHeight="true" outlineLevel="0" collapsed="false">
      <c r="A23" s="26" t="s">
        <v>128</v>
      </c>
      <c r="B23" s="26" t="s">
        <v>132</v>
      </c>
      <c r="C23" s="26" t="s">
        <v>130</v>
      </c>
      <c r="D23" s="26" t="s">
        <v>78</v>
      </c>
      <c r="E23" s="26" t="s">
        <v>70</v>
      </c>
      <c r="F23" s="26" t="s">
        <v>79</v>
      </c>
      <c r="G23" s="26" t="s">
        <v>133</v>
      </c>
    </row>
    <row r="24" customFormat="false" ht="15" hidden="false" customHeight="true" outlineLevel="0" collapsed="false">
      <c r="A24" s="25" t="s">
        <v>128</v>
      </c>
      <c r="B24" s="25" t="s">
        <v>134</v>
      </c>
      <c r="C24" s="25" t="s">
        <v>135</v>
      </c>
      <c r="D24" s="25" t="s">
        <v>69</v>
      </c>
      <c r="E24" s="25" t="s">
        <v>70</v>
      </c>
      <c r="F24" s="25" t="s">
        <v>62</v>
      </c>
      <c r="G24" s="25" t="s">
        <v>136</v>
      </c>
    </row>
    <row r="25" customFormat="false" ht="15" hidden="false" customHeight="true" outlineLevel="0" collapsed="false">
      <c r="A25" s="26" t="s">
        <v>128</v>
      </c>
      <c r="B25" s="26" t="s">
        <v>137</v>
      </c>
      <c r="C25" s="26" t="s">
        <v>94</v>
      </c>
      <c r="D25" s="26" t="s">
        <v>138</v>
      </c>
      <c r="E25" s="26" t="s">
        <v>70</v>
      </c>
      <c r="F25" s="26" t="s">
        <v>79</v>
      </c>
      <c r="G25" s="26" t="s">
        <v>139</v>
      </c>
    </row>
    <row r="26" customFormat="false" ht="15" hidden="false" customHeight="true" outlineLevel="0" collapsed="false">
      <c r="A26" s="25" t="s">
        <v>140</v>
      </c>
      <c r="B26" s="25" t="s">
        <v>141</v>
      </c>
      <c r="C26" s="25" t="s">
        <v>142</v>
      </c>
      <c r="D26" s="25" t="s">
        <v>65</v>
      </c>
      <c r="E26" s="25" t="s">
        <v>70</v>
      </c>
      <c r="F26" s="25" t="s">
        <v>62</v>
      </c>
      <c r="G26" s="25" t="s">
        <v>143</v>
      </c>
    </row>
    <row r="27" customFormat="false" ht="15" hidden="false" customHeight="true" outlineLevel="0" collapsed="false">
      <c r="A27" s="26" t="s">
        <v>140</v>
      </c>
      <c r="B27" s="26" t="s">
        <v>144</v>
      </c>
      <c r="C27" s="26" t="s">
        <v>142</v>
      </c>
      <c r="D27" s="26" t="s">
        <v>112</v>
      </c>
      <c r="E27" s="26" t="s">
        <v>70</v>
      </c>
      <c r="F27" s="26" t="s">
        <v>62</v>
      </c>
      <c r="G27" s="26" t="s">
        <v>145</v>
      </c>
    </row>
    <row r="28" customFormat="false" ht="15" hidden="false" customHeight="true" outlineLevel="0" collapsed="false">
      <c r="A28" s="25" t="s">
        <v>140</v>
      </c>
      <c r="B28" s="25" t="s">
        <v>146</v>
      </c>
      <c r="C28" s="25" t="s">
        <v>142</v>
      </c>
      <c r="D28" s="25" t="s">
        <v>69</v>
      </c>
      <c r="E28" s="25" t="s">
        <v>70</v>
      </c>
      <c r="F28" s="25" t="s">
        <v>79</v>
      </c>
      <c r="G28" s="25" t="s">
        <v>147</v>
      </c>
    </row>
  </sheetData>
  <dataValidations count="2">
    <dataValidation allowBlank="false" errorStyle="stop" operator="between" showDropDown="false" showErrorMessage="false" showInputMessage="false" sqref="E2:E28" type="list">
      <formula1>"Pendente,Em Andamento,Concluído,Atrasado"</formula1>
      <formula2>0</formula2>
    </dataValidation>
    <dataValidation allowBlank="false" errorStyle="stop" operator="between" showDropDown="false" showErrorMessage="false" showInputMessage="false" sqref="F2:F28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6B6B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  <col collapsed="false" customWidth="true" hidden="false" outlineLevel="0" max="4" min="3" style="1" width="15"/>
    <col collapsed="false" customWidth="true" hidden="false" outlineLevel="0" max="7" min="5" style="1" width="20"/>
  </cols>
  <sheetData>
    <row r="1" customFormat="false" ht="26.25" hidden="false" customHeight="true" outlineLevel="0" collapsed="false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54</v>
      </c>
    </row>
    <row r="2" customFormat="false" ht="15" hidden="false" customHeight="true" outlineLevel="0" collapsed="false">
      <c r="A2" s="27" t="s">
        <v>154</v>
      </c>
      <c r="B2" s="27" t="s">
        <v>155</v>
      </c>
      <c r="C2" s="27" t="s">
        <v>156</v>
      </c>
      <c r="D2" s="27" t="s">
        <v>157</v>
      </c>
      <c r="E2" s="28" t="n">
        <v>5000</v>
      </c>
      <c r="F2" s="27" t="s">
        <v>158</v>
      </c>
      <c r="G2" s="27" t="s">
        <v>159</v>
      </c>
    </row>
    <row r="3" customFormat="false" ht="15" hidden="false" customHeight="true" outlineLevel="0" collapsed="false">
      <c r="A3" s="29" t="s">
        <v>154</v>
      </c>
      <c r="B3" s="29" t="s">
        <v>160</v>
      </c>
      <c r="C3" s="29" t="s">
        <v>116</v>
      </c>
      <c r="D3" s="29" t="s">
        <v>157</v>
      </c>
      <c r="E3" s="30" t="n">
        <v>8000</v>
      </c>
      <c r="F3" s="29" t="s">
        <v>158</v>
      </c>
      <c r="G3" s="29" t="s">
        <v>159</v>
      </c>
    </row>
    <row r="4" customFormat="false" ht="15" hidden="false" customHeight="true" outlineLevel="0" collapsed="false">
      <c r="A4" s="27" t="s">
        <v>154</v>
      </c>
      <c r="B4" s="27" t="s">
        <v>68</v>
      </c>
      <c r="C4" s="27" t="s">
        <v>57</v>
      </c>
      <c r="D4" s="27" t="s">
        <v>157</v>
      </c>
      <c r="E4" s="28" t="n">
        <v>5000</v>
      </c>
      <c r="F4" s="27" t="s">
        <v>158</v>
      </c>
      <c r="G4" s="27" t="s">
        <v>159</v>
      </c>
    </row>
    <row r="5" customFormat="false" ht="15" hidden="false" customHeight="true" outlineLevel="0" collapsed="false">
      <c r="A5" s="29" t="s">
        <v>154</v>
      </c>
      <c r="B5" s="29" t="s">
        <v>105</v>
      </c>
      <c r="C5" s="29" t="s">
        <v>103</v>
      </c>
      <c r="D5" s="29" t="s">
        <v>157</v>
      </c>
      <c r="E5" s="30" t="n">
        <v>4500</v>
      </c>
      <c r="F5" s="29" t="s">
        <v>158</v>
      </c>
      <c r="G5" s="29" t="s">
        <v>159</v>
      </c>
    </row>
    <row r="6" customFormat="false" ht="15" hidden="false" customHeight="true" outlineLevel="0" collapsed="false">
      <c r="A6" s="27" t="s">
        <v>154</v>
      </c>
      <c r="B6" s="27" t="s">
        <v>83</v>
      </c>
      <c r="C6" s="27" t="s">
        <v>81</v>
      </c>
      <c r="D6" s="27" t="s">
        <v>161</v>
      </c>
      <c r="E6" s="28" t="n">
        <v>3000</v>
      </c>
      <c r="F6" s="27" t="s">
        <v>158</v>
      </c>
      <c r="G6" s="27" t="s">
        <v>159</v>
      </c>
    </row>
    <row r="7" customFormat="false" ht="15" hidden="false" customHeight="true" outlineLevel="0" collapsed="false">
      <c r="A7" s="29" t="s">
        <v>154</v>
      </c>
      <c r="B7" s="29" t="s">
        <v>162</v>
      </c>
      <c r="C7" s="29" t="s">
        <v>116</v>
      </c>
      <c r="D7" s="29" t="s">
        <v>161</v>
      </c>
      <c r="E7" s="30" t="n">
        <v>6000</v>
      </c>
      <c r="F7" s="29" t="s">
        <v>158</v>
      </c>
      <c r="G7" s="29" t="s">
        <v>163</v>
      </c>
    </row>
    <row r="8" customFormat="false" ht="15" hidden="false" customHeight="true" outlineLevel="0" collapsed="false">
      <c r="A8" s="27" t="s">
        <v>154</v>
      </c>
      <c r="B8" s="27" t="s">
        <v>164</v>
      </c>
      <c r="C8" s="27" t="s">
        <v>116</v>
      </c>
      <c r="D8" s="27" t="s">
        <v>161</v>
      </c>
      <c r="E8" s="28" t="n">
        <v>5500</v>
      </c>
      <c r="F8" s="27" t="s">
        <v>158</v>
      </c>
      <c r="G8" s="27" t="s">
        <v>163</v>
      </c>
    </row>
    <row r="9" customFormat="false" ht="15" hidden="false" customHeight="true" outlineLevel="0" collapsed="false">
      <c r="A9" s="29" t="s">
        <v>165</v>
      </c>
      <c r="B9" s="29" t="s">
        <v>166</v>
      </c>
      <c r="C9" s="29" t="s">
        <v>156</v>
      </c>
      <c r="D9" s="29" t="s">
        <v>157</v>
      </c>
      <c r="E9" s="30" t="n">
        <v>7000</v>
      </c>
      <c r="F9" s="29" t="s">
        <v>62</v>
      </c>
      <c r="G9" s="29" t="s">
        <v>163</v>
      </c>
    </row>
    <row r="10" customFormat="false" ht="15" hidden="false" customHeight="true" outlineLevel="0" collapsed="false">
      <c r="A10" s="27" t="s">
        <v>165</v>
      </c>
      <c r="B10" s="27" t="s">
        <v>167</v>
      </c>
      <c r="C10" s="27" t="s">
        <v>168</v>
      </c>
      <c r="D10" s="27" t="s">
        <v>157</v>
      </c>
      <c r="E10" s="28" t="n">
        <v>6500</v>
      </c>
      <c r="F10" s="27" t="s">
        <v>62</v>
      </c>
      <c r="G10" s="27" t="s">
        <v>163</v>
      </c>
    </row>
    <row r="11" customFormat="false" ht="15" hidden="false" customHeight="true" outlineLevel="0" collapsed="false">
      <c r="A11" s="29" t="s">
        <v>165</v>
      </c>
      <c r="B11" s="29" t="s">
        <v>86</v>
      </c>
      <c r="C11" s="29" t="s">
        <v>81</v>
      </c>
      <c r="D11" s="29" t="s">
        <v>161</v>
      </c>
      <c r="E11" s="30" t="n">
        <v>4000</v>
      </c>
      <c r="F11" s="29" t="s">
        <v>62</v>
      </c>
      <c r="G11" s="29" t="s">
        <v>163</v>
      </c>
    </row>
    <row r="12" customFormat="false" ht="15" hidden="false" customHeight="true" outlineLevel="0" collapsed="false">
      <c r="A12" s="27" t="s">
        <v>165</v>
      </c>
      <c r="B12" s="27" t="s">
        <v>73</v>
      </c>
      <c r="C12" s="27" t="s">
        <v>81</v>
      </c>
      <c r="D12" s="27" t="s">
        <v>157</v>
      </c>
      <c r="E12" s="28" t="n">
        <v>4000</v>
      </c>
      <c r="F12" s="27" t="s">
        <v>62</v>
      </c>
      <c r="G12" s="27" t="s">
        <v>163</v>
      </c>
    </row>
    <row r="13" customFormat="false" ht="15" hidden="false" customHeight="true" outlineLevel="0" collapsed="false">
      <c r="A13" s="29" t="s">
        <v>165</v>
      </c>
      <c r="B13" s="29" t="s">
        <v>94</v>
      </c>
      <c r="C13" s="29" t="s">
        <v>128</v>
      </c>
      <c r="D13" s="29" t="s">
        <v>157</v>
      </c>
      <c r="E13" s="30" t="n">
        <v>3500</v>
      </c>
      <c r="F13" s="29" t="s">
        <v>62</v>
      </c>
      <c r="G13" s="29" t="s">
        <v>163</v>
      </c>
    </row>
    <row r="14" customFormat="false" ht="15" hidden="false" customHeight="true" outlineLevel="0" collapsed="false">
      <c r="A14" s="27" t="s">
        <v>165</v>
      </c>
      <c r="B14" s="27" t="s">
        <v>142</v>
      </c>
      <c r="C14" s="27" t="s">
        <v>140</v>
      </c>
      <c r="D14" s="27" t="s">
        <v>157</v>
      </c>
      <c r="E14" s="28" t="n">
        <v>3500</v>
      </c>
      <c r="F14" s="27" t="s">
        <v>62</v>
      </c>
      <c r="G14" s="27" t="s">
        <v>163</v>
      </c>
    </row>
    <row r="15" customFormat="false" ht="15" hidden="false" customHeight="true" outlineLevel="0" collapsed="false">
      <c r="A15" s="29" t="s">
        <v>165</v>
      </c>
      <c r="B15" s="29" t="s">
        <v>118</v>
      </c>
      <c r="C15" s="29" t="s">
        <v>116</v>
      </c>
      <c r="D15" s="29" t="s">
        <v>157</v>
      </c>
      <c r="E15" s="30" t="n">
        <v>5500</v>
      </c>
      <c r="F15" s="29" t="s">
        <v>79</v>
      </c>
      <c r="G15" s="29" t="s">
        <v>163</v>
      </c>
    </row>
    <row r="16" customFormat="false" ht="15" hidden="false" customHeight="true" outlineLevel="0" collapsed="false">
      <c r="A16" s="27" t="s">
        <v>165</v>
      </c>
      <c r="B16" s="27" t="s">
        <v>169</v>
      </c>
      <c r="C16" s="27" t="s">
        <v>140</v>
      </c>
      <c r="D16" s="27" t="s">
        <v>157</v>
      </c>
      <c r="E16" s="28" t="n">
        <v>3000</v>
      </c>
      <c r="F16" s="27" t="s">
        <v>62</v>
      </c>
      <c r="G16" s="27" t="s">
        <v>163</v>
      </c>
    </row>
    <row r="17" customFormat="false" ht="15" hidden="false" customHeight="true" outlineLevel="0" collapsed="false">
      <c r="A17" s="29" t="s">
        <v>170</v>
      </c>
      <c r="B17" s="29" t="s">
        <v>171</v>
      </c>
      <c r="C17" s="29" t="s">
        <v>81</v>
      </c>
      <c r="D17" s="29" t="s">
        <v>157</v>
      </c>
      <c r="E17" s="30" t="n">
        <v>8000</v>
      </c>
      <c r="F17" s="29" t="s">
        <v>79</v>
      </c>
      <c r="G17" s="29" t="s">
        <v>172</v>
      </c>
    </row>
    <row r="18" customFormat="false" ht="15" hidden="false" customHeight="true" outlineLevel="0" collapsed="false">
      <c r="A18" s="27" t="s">
        <v>170</v>
      </c>
      <c r="B18" s="27" t="s">
        <v>101</v>
      </c>
      <c r="C18" s="27" t="s">
        <v>81</v>
      </c>
      <c r="D18" s="27" t="s">
        <v>157</v>
      </c>
      <c r="E18" s="28" t="n">
        <v>6000</v>
      </c>
      <c r="F18" s="27" t="s">
        <v>79</v>
      </c>
      <c r="G18" s="27" t="s">
        <v>163</v>
      </c>
    </row>
    <row r="19" customFormat="false" ht="15" hidden="false" customHeight="true" outlineLevel="0" collapsed="false">
      <c r="A19" s="29" t="s">
        <v>170</v>
      </c>
      <c r="B19" s="29" t="s">
        <v>173</v>
      </c>
      <c r="C19" s="29" t="s">
        <v>103</v>
      </c>
      <c r="D19" s="29" t="s">
        <v>157</v>
      </c>
      <c r="E19" s="30" t="n">
        <v>6000</v>
      </c>
      <c r="F19" s="29" t="s">
        <v>79</v>
      </c>
      <c r="G19" s="29" t="s">
        <v>163</v>
      </c>
    </row>
    <row r="20" customFormat="false" ht="15" hidden="false" customHeight="true" outlineLevel="0" collapsed="false">
      <c r="A20" s="27" t="s">
        <v>170</v>
      </c>
      <c r="B20" s="27" t="s">
        <v>174</v>
      </c>
      <c r="C20" s="27" t="s">
        <v>103</v>
      </c>
      <c r="D20" s="27" t="s">
        <v>157</v>
      </c>
      <c r="E20" s="28" t="n">
        <v>4000</v>
      </c>
      <c r="F20" s="27" t="s">
        <v>79</v>
      </c>
      <c r="G20" s="27" t="s">
        <v>163</v>
      </c>
    </row>
    <row r="21" customFormat="false" ht="15" hidden="false" customHeight="true" outlineLevel="0" collapsed="false">
      <c r="A21" s="29" t="s">
        <v>170</v>
      </c>
      <c r="B21" s="29" t="s">
        <v>126</v>
      </c>
      <c r="C21" s="29" t="s">
        <v>168</v>
      </c>
      <c r="D21" s="29" t="s">
        <v>157</v>
      </c>
      <c r="E21" s="30" t="n">
        <v>5500</v>
      </c>
      <c r="F21" s="29" t="s">
        <v>79</v>
      </c>
      <c r="G21" s="29" t="s">
        <v>163</v>
      </c>
    </row>
    <row r="22" customFormat="false" ht="15" hidden="false" customHeight="true" outlineLevel="0" collapsed="false">
      <c r="A22" s="27" t="s">
        <v>170</v>
      </c>
      <c r="B22" s="27" t="s">
        <v>175</v>
      </c>
      <c r="C22" s="27" t="s">
        <v>116</v>
      </c>
      <c r="D22" s="27" t="s">
        <v>157</v>
      </c>
      <c r="E22" s="28" t="n">
        <v>5000</v>
      </c>
      <c r="F22" s="27" t="s">
        <v>79</v>
      </c>
      <c r="G22" s="27" t="s">
        <v>163</v>
      </c>
    </row>
    <row r="23" customFormat="false" ht="15" hidden="false" customHeight="true" outlineLevel="0" collapsed="false">
      <c r="A23" s="29" t="s">
        <v>170</v>
      </c>
      <c r="B23" s="29" t="s">
        <v>130</v>
      </c>
      <c r="C23" s="29" t="s">
        <v>128</v>
      </c>
      <c r="D23" s="29" t="s">
        <v>161</v>
      </c>
      <c r="E23" s="30" t="n">
        <v>3500</v>
      </c>
      <c r="F23" s="29" t="s">
        <v>79</v>
      </c>
      <c r="G23" s="29" t="s">
        <v>163</v>
      </c>
    </row>
    <row r="24" customFormat="false" ht="15" hidden="false" customHeight="true" outlineLevel="0" collapsed="false">
      <c r="A24" s="27" t="s">
        <v>170</v>
      </c>
      <c r="B24" s="27" t="s">
        <v>135</v>
      </c>
      <c r="C24" s="27" t="s">
        <v>128</v>
      </c>
      <c r="D24" s="27" t="s">
        <v>161</v>
      </c>
      <c r="E24" s="28" t="n">
        <v>2500</v>
      </c>
      <c r="F24" s="27" t="s">
        <v>79</v>
      </c>
      <c r="G24" s="27" t="s">
        <v>163</v>
      </c>
    </row>
    <row r="25" customFormat="false" ht="15" hidden="false" customHeight="true" outlineLevel="0" collapsed="false">
      <c r="A25" s="29" t="s">
        <v>176</v>
      </c>
      <c r="B25" s="29" t="s">
        <v>177</v>
      </c>
      <c r="C25" s="29" t="s">
        <v>116</v>
      </c>
      <c r="D25" s="29" t="s">
        <v>157</v>
      </c>
      <c r="E25" s="30" t="n">
        <v>10000</v>
      </c>
      <c r="F25" s="29" t="s">
        <v>178</v>
      </c>
      <c r="G25" s="29" t="s">
        <v>172</v>
      </c>
    </row>
    <row r="26" customFormat="false" ht="15" hidden="false" customHeight="true" outlineLevel="0" collapsed="false">
      <c r="A26" s="27" t="s">
        <v>176</v>
      </c>
      <c r="B26" s="27" t="s">
        <v>179</v>
      </c>
      <c r="C26" s="27" t="s">
        <v>116</v>
      </c>
      <c r="D26" s="27" t="s">
        <v>157</v>
      </c>
      <c r="E26" s="28" t="n">
        <v>7000</v>
      </c>
      <c r="F26" s="27" t="s">
        <v>178</v>
      </c>
      <c r="G26" s="27" t="s">
        <v>172</v>
      </c>
    </row>
    <row r="27" customFormat="false" ht="15" hidden="false" customHeight="true" outlineLevel="0" collapsed="false">
      <c r="A27" s="29" t="s">
        <v>176</v>
      </c>
      <c r="B27" s="29" t="s">
        <v>180</v>
      </c>
      <c r="C27" s="29" t="s">
        <v>116</v>
      </c>
      <c r="D27" s="29" t="s">
        <v>157</v>
      </c>
      <c r="E27" s="30" t="n">
        <v>7500</v>
      </c>
      <c r="F27" s="29" t="s">
        <v>178</v>
      </c>
      <c r="G27" s="29" t="s">
        <v>172</v>
      </c>
    </row>
    <row r="28" customFormat="false" ht="15" hidden="false" customHeight="true" outlineLevel="0" collapsed="false">
      <c r="A28" s="27" t="s">
        <v>176</v>
      </c>
      <c r="B28" s="27" t="s">
        <v>181</v>
      </c>
      <c r="C28" s="27" t="s">
        <v>116</v>
      </c>
      <c r="D28" s="27" t="s">
        <v>157</v>
      </c>
      <c r="E28" s="28" t="n">
        <v>7000</v>
      </c>
      <c r="F28" s="27" t="s">
        <v>178</v>
      </c>
      <c r="G28" s="27" t="s">
        <v>172</v>
      </c>
    </row>
    <row r="29" customFormat="false" ht="15" hidden="false" customHeight="true" outlineLevel="0" collapsed="false">
      <c r="A29" s="29" t="s">
        <v>176</v>
      </c>
      <c r="B29" s="29" t="s">
        <v>182</v>
      </c>
      <c r="C29" s="29" t="s">
        <v>103</v>
      </c>
      <c r="D29" s="29" t="s">
        <v>157</v>
      </c>
      <c r="E29" s="30" t="n">
        <v>9000</v>
      </c>
      <c r="F29" s="29" t="s">
        <v>178</v>
      </c>
      <c r="G29" s="29" t="s">
        <v>172</v>
      </c>
    </row>
    <row r="30" customFormat="false" ht="15" hidden="false" customHeight="true" outlineLevel="0" collapsed="false">
      <c r="A30" s="27" t="s">
        <v>176</v>
      </c>
      <c r="B30" s="27" t="s">
        <v>183</v>
      </c>
      <c r="C30" s="27" t="s">
        <v>140</v>
      </c>
      <c r="D30" s="27" t="s">
        <v>157</v>
      </c>
      <c r="E30" s="28" t="n">
        <v>5500</v>
      </c>
      <c r="F30" s="27" t="s">
        <v>178</v>
      </c>
      <c r="G30" s="27" t="s">
        <v>172</v>
      </c>
    </row>
    <row r="31" customFormat="false" ht="15" hidden="false" customHeight="true" outlineLevel="0" collapsed="false">
      <c r="A31" s="29" t="s">
        <v>176</v>
      </c>
      <c r="B31" s="29" t="s">
        <v>184</v>
      </c>
      <c r="C31" s="29" t="s">
        <v>140</v>
      </c>
      <c r="D31" s="29" t="s">
        <v>157</v>
      </c>
      <c r="E31" s="30" t="n">
        <v>3000</v>
      </c>
      <c r="F31" s="29" t="s">
        <v>178</v>
      </c>
      <c r="G31" s="29" t="s">
        <v>172</v>
      </c>
    </row>
    <row r="32" customFormat="false" ht="15" hidden="false" customHeight="true" outlineLevel="0" collapsed="false">
      <c r="A32" s="27" t="s">
        <v>176</v>
      </c>
      <c r="B32" s="27" t="s">
        <v>185</v>
      </c>
      <c r="C32" s="27" t="s">
        <v>156</v>
      </c>
      <c r="D32" s="27" t="s">
        <v>161</v>
      </c>
      <c r="E32" s="28" t="n">
        <v>3000</v>
      </c>
      <c r="F32" s="27" t="s">
        <v>178</v>
      </c>
      <c r="G32" s="27" t="s">
        <v>172</v>
      </c>
    </row>
  </sheetData>
  <dataValidations count="3">
    <dataValidation allowBlank="false" errorStyle="stop" operator="between" showDropDown="false" showErrorMessage="false" showInputMessage="false" sqref="D2:D32" type="list">
      <formula1>"CLT,PJ,Terceirizado"</formula1>
      <formula2>0</formula2>
    </dataValidation>
    <dataValidation allowBlank="false" errorStyle="stop" operator="between" showDropDown="false" showErrorMessage="false" showInputMessage="false" sqref="F2:F32" type="list">
      <formula1>"Prioritária,Alta,Média,Baixa"</formula1>
      <formula2>0</formula2>
    </dataValidation>
    <dataValidation allowBlank="false" errorStyle="stop" operator="between" showDropDown="false" showErrorMessage="false" showInputMessage="false" sqref="G2:G32" type="list">
      <formula1>"A Contratar,Contratado,Não Necessário Ainda"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6" min="5" style="1" width="18"/>
    <col collapsed="false" customWidth="true" hidden="false" outlineLevel="0" max="7" min="7" style="1" width="12"/>
    <col collapsed="false" customWidth="true" hidden="false" outlineLevel="0" max="10" min="8" style="1" width="15"/>
    <col collapsed="false" customWidth="true" hidden="false" outlineLevel="0" max="12" min="11" style="1" width="12"/>
  </cols>
  <sheetData>
    <row r="1" customFormat="false" ht="26.25" hidden="false" customHeight="true" outlineLevel="0" collapsed="false">
      <c r="A1" s="2" t="s">
        <v>186</v>
      </c>
      <c r="B1" s="2" t="s">
        <v>168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193</v>
      </c>
      <c r="J1" s="2" t="s">
        <v>194</v>
      </c>
      <c r="K1" s="2" t="s">
        <v>54</v>
      </c>
      <c r="L1" s="2" t="s">
        <v>195</v>
      </c>
    </row>
    <row r="2" customFormat="false" ht="15" hidden="false" customHeight="true" outlineLevel="0" collapsed="false">
      <c r="A2" s="31" t="s">
        <v>196</v>
      </c>
      <c r="B2" s="31" t="s">
        <v>197</v>
      </c>
      <c r="C2" s="31" t="s">
        <v>198</v>
      </c>
      <c r="D2" s="31" t="s">
        <v>199</v>
      </c>
      <c r="E2" s="4" t="n">
        <v>1800</v>
      </c>
      <c r="F2" s="4" t="n">
        <v>4500</v>
      </c>
      <c r="G2" s="6" t="n">
        <f aca="false">IF(F2=0,0,(F2-E2)/F2)</f>
        <v>0.6</v>
      </c>
      <c r="H2" s="12" t="n">
        <v>15</v>
      </c>
      <c r="I2" s="12" t="n">
        <v>5</v>
      </c>
      <c r="J2" s="12" t="n">
        <v>8</v>
      </c>
      <c r="K2" s="31" t="str">
        <f aca="false">IF(H2&lt;I2,"REPOR","OK")</f>
        <v>OK</v>
      </c>
      <c r="L2" s="31" t="s">
        <v>200</v>
      </c>
    </row>
    <row r="3" customFormat="false" ht="15" hidden="false" customHeight="true" outlineLevel="0" collapsed="false">
      <c r="A3" s="32" t="s">
        <v>201</v>
      </c>
      <c r="B3" s="32" t="s">
        <v>202</v>
      </c>
      <c r="C3" s="32" t="s">
        <v>203</v>
      </c>
      <c r="D3" s="32" t="s">
        <v>199</v>
      </c>
      <c r="E3" s="7" t="n">
        <v>2200</v>
      </c>
      <c r="F3" s="7" t="n">
        <v>5500</v>
      </c>
      <c r="G3" s="9" t="n">
        <f aca="false">IF(F3=0,0,(F3-E3)/F3)</f>
        <v>0.6</v>
      </c>
      <c r="H3" s="10" t="n">
        <v>12</v>
      </c>
      <c r="I3" s="10" t="n">
        <v>3</v>
      </c>
      <c r="J3" s="10" t="n">
        <v>6</v>
      </c>
      <c r="K3" s="32" t="str">
        <f aca="false">IF(H3&lt;I3,"REPOR","OK")</f>
        <v>OK</v>
      </c>
      <c r="L3" s="32" t="s">
        <v>200</v>
      </c>
    </row>
    <row r="4" customFormat="false" ht="15" hidden="false" customHeight="true" outlineLevel="0" collapsed="false">
      <c r="A4" s="31" t="s">
        <v>204</v>
      </c>
      <c r="B4" s="31" t="s">
        <v>205</v>
      </c>
      <c r="C4" s="31" t="s">
        <v>206</v>
      </c>
      <c r="D4" s="31" t="s">
        <v>207</v>
      </c>
      <c r="E4" s="4" t="n">
        <v>180</v>
      </c>
      <c r="F4" s="4" t="n">
        <v>450</v>
      </c>
      <c r="G4" s="6" t="n">
        <f aca="false">IF(F4=0,0,(F4-E4)/F4)</f>
        <v>0.6</v>
      </c>
      <c r="H4" s="12" t="n">
        <v>45</v>
      </c>
      <c r="I4" s="12" t="n">
        <v>20</v>
      </c>
      <c r="J4" s="12" t="n">
        <v>25</v>
      </c>
      <c r="K4" s="31" t="str">
        <f aca="false">IF(H4&lt;I4,"REPOR","OK")</f>
        <v>OK</v>
      </c>
      <c r="L4" s="31" t="s">
        <v>208</v>
      </c>
    </row>
    <row r="5" customFormat="false" ht="15" hidden="false" customHeight="true" outlineLevel="0" collapsed="false">
      <c r="A5" s="32" t="s">
        <v>209</v>
      </c>
      <c r="B5" s="32" t="s">
        <v>210</v>
      </c>
      <c r="C5" s="32" t="s">
        <v>211</v>
      </c>
      <c r="D5" s="32" t="s">
        <v>212</v>
      </c>
      <c r="E5" s="7" t="n">
        <v>280</v>
      </c>
      <c r="F5" s="7" t="n">
        <v>700</v>
      </c>
      <c r="G5" s="9" t="n">
        <f aca="false">IF(F5=0,0,(F5-E5)/F5)</f>
        <v>0.6</v>
      </c>
      <c r="H5" s="10" t="n">
        <v>30</v>
      </c>
      <c r="I5" s="10" t="n">
        <v>10</v>
      </c>
      <c r="J5" s="10" t="n">
        <v>15</v>
      </c>
      <c r="K5" s="32" t="str">
        <f aca="false">IF(H5&lt;I5,"REPOR","OK")</f>
        <v>OK</v>
      </c>
      <c r="L5" s="32" t="s">
        <v>208</v>
      </c>
    </row>
    <row r="6" customFormat="false" ht="15" hidden="false" customHeight="true" outlineLevel="0" collapsed="false">
      <c r="A6" s="31" t="s">
        <v>213</v>
      </c>
      <c r="B6" s="31" t="s">
        <v>214</v>
      </c>
      <c r="C6" s="31" t="s">
        <v>215</v>
      </c>
      <c r="D6" s="31" t="s">
        <v>216</v>
      </c>
      <c r="E6" s="4" t="n">
        <v>120</v>
      </c>
      <c r="F6" s="4" t="n">
        <v>350</v>
      </c>
      <c r="G6" s="6" t="n">
        <f aca="false">IF(F6=0,0,(F6-E6)/F6)</f>
        <v>0.657142857142857</v>
      </c>
      <c r="H6" s="12" t="n">
        <v>80</v>
      </c>
      <c r="I6" s="12" t="n">
        <v>30</v>
      </c>
      <c r="J6" s="12" t="n">
        <v>45</v>
      </c>
      <c r="K6" s="31" t="str">
        <f aca="false">IF(H6&lt;I6,"REPOR","OK")</f>
        <v>OK</v>
      </c>
      <c r="L6" s="31" t="s">
        <v>208</v>
      </c>
    </row>
    <row r="7" customFormat="false" ht="15" hidden="false" customHeight="true" outlineLevel="0" collapsed="false">
      <c r="A7" s="32" t="s">
        <v>217</v>
      </c>
      <c r="B7" s="32" t="s">
        <v>218</v>
      </c>
      <c r="C7" s="32" t="s">
        <v>219</v>
      </c>
      <c r="D7" s="32" t="s">
        <v>220</v>
      </c>
      <c r="E7" s="7" t="n">
        <v>150</v>
      </c>
      <c r="F7" s="7" t="n">
        <v>400</v>
      </c>
      <c r="G7" s="9" t="n">
        <f aca="false">IF(F7=0,0,(F7-E7)/F7)</f>
        <v>0.625</v>
      </c>
      <c r="H7" s="10" t="n">
        <v>60</v>
      </c>
      <c r="I7" s="10" t="n">
        <v>25</v>
      </c>
      <c r="J7" s="10" t="n">
        <v>35</v>
      </c>
      <c r="K7" s="32" t="str">
        <f aca="false">IF(H7&lt;I7,"REPOR","OK")</f>
        <v>OK</v>
      </c>
      <c r="L7" s="32" t="s">
        <v>221</v>
      </c>
    </row>
    <row r="8" customFormat="false" ht="15" hidden="false" customHeight="true" outlineLevel="0" collapsed="false">
      <c r="A8" s="31" t="s">
        <v>222</v>
      </c>
      <c r="B8" s="31" t="s">
        <v>223</v>
      </c>
      <c r="C8" s="31" t="s">
        <v>224</v>
      </c>
      <c r="D8" s="31" t="s">
        <v>212</v>
      </c>
      <c r="E8" s="4" t="n">
        <v>90</v>
      </c>
      <c r="F8" s="4" t="n">
        <v>250</v>
      </c>
      <c r="G8" s="6" t="n">
        <f aca="false">IF(F8=0,0,(F8-E8)/F8)</f>
        <v>0.64</v>
      </c>
      <c r="H8" s="12" t="n">
        <v>100</v>
      </c>
      <c r="I8" s="12" t="n">
        <v>40</v>
      </c>
      <c r="J8" s="12" t="n">
        <v>60</v>
      </c>
      <c r="K8" s="31" t="str">
        <f aca="false">IF(H8&lt;I8,"REPOR","OK")</f>
        <v>OK</v>
      </c>
      <c r="L8" s="31" t="s">
        <v>221</v>
      </c>
    </row>
    <row r="9" customFormat="false" ht="15" hidden="false" customHeight="true" outlineLevel="0" collapsed="false">
      <c r="A9" s="32" t="s">
        <v>225</v>
      </c>
      <c r="B9" s="32" t="s">
        <v>226</v>
      </c>
      <c r="C9" s="32" t="s">
        <v>219</v>
      </c>
      <c r="D9" s="32" t="s">
        <v>212</v>
      </c>
      <c r="E9" s="7" t="n">
        <v>80</v>
      </c>
      <c r="F9" s="7" t="n">
        <v>200</v>
      </c>
      <c r="G9" s="9" t="n">
        <f aca="false">IF(F9=0,0,(F9-E9)/F9)</f>
        <v>0.6</v>
      </c>
      <c r="H9" s="10" t="n">
        <v>120</v>
      </c>
      <c r="I9" s="10" t="n">
        <v>50</v>
      </c>
      <c r="J9" s="10" t="n">
        <v>75</v>
      </c>
      <c r="K9" s="32" t="str">
        <f aca="false">IF(H9&lt;I9,"REPOR","OK")</f>
        <v>OK</v>
      </c>
      <c r="L9" s="32" t="s">
        <v>221</v>
      </c>
    </row>
    <row r="10" customFormat="false" ht="15" hidden="false" customHeight="true" outlineLevel="0" collapsed="false">
      <c r="A10" s="31" t="s">
        <v>227</v>
      </c>
      <c r="B10" s="31" t="s">
        <v>228</v>
      </c>
      <c r="C10" s="31" t="s">
        <v>219</v>
      </c>
      <c r="D10" s="31" t="s">
        <v>199</v>
      </c>
      <c r="E10" s="4" t="n">
        <v>650</v>
      </c>
      <c r="F10" s="4" t="n">
        <v>1500</v>
      </c>
      <c r="G10" s="6" t="n">
        <f aca="false">IF(F10=0,0,(F10-E10)/F10)</f>
        <v>0.566666666666667</v>
      </c>
      <c r="H10" s="12" t="n">
        <v>8</v>
      </c>
      <c r="I10" s="12" t="n">
        <v>2</v>
      </c>
      <c r="J10" s="12" t="n">
        <v>4</v>
      </c>
      <c r="K10" s="31" t="str">
        <f aca="false">IF(H10&lt;I10,"REPOR","OK")</f>
        <v>OK</v>
      </c>
      <c r="L10" s="31" t="s">
        <v>200</v>
      </c>
    </row>
    <row r="11" customFormat="false" ht="15" hidden="false" customHeight="true" outlineLevel="0" collapsed="false">
      <c r="A11" s="32" t="s">
        <v>229</v>
      </c>
      <c r="B11" s="32" t="s">
        <v>230</v>
      </c>
      <c r="C11" s="32" t="s">
        <v>219</v>
      </c>
      <c r="D11" s="32" t="s">
        <v>220</v>
      </c>
      <c r="E11" s="7" t="n">
        <v>50</v>
      </c>
      <c r="F11" s="7" t="n">
        <v>150</v>
      </c>
      <c r="G11" s="9" t="n">
        <f aca="false">IF(F11=0,0,(F11-E11)/F11)</f>
        <v>0.666666666666667</v>
      </c>
      <c r="H11" s="10" t="n">
        <v>200</v>
      </c>
      <c r="I11" s="10" t="n">
        <v>100</v>
      </c>
      <c r="J11" s="10" t="n">
        <v>150</v>
      </c>
      <c r="K11" s="32" t="str">
        <f aca="false">IF(H11&lt;I11,"REPOR","OK")</f>
        <v>OK</v>
      </c>
      <c r="L11" s="32" t="s">
        <v>221</v>
      </c>
    </row>
  </sheetData>
  <dataValidations count="3">
    <dataValidation allowBlank="false" errorStyle="stop" operator="between" showDropDown="false" showErrorMessage="false" showInputMessage="false" sqref="C2:C11" type="list">
      <formula1>"Paralama,Bateria,Motor,Pneu,Freio,Iluminação,Acessório"</formula1>
      <formula2>0</formula2>
    </dataValidation>
    <dataValidation allowBlank="false" errorStyle="stop" operator="between" showDropDown="false" showErrorMessage="false" showInputMessage="false" sqref="K2:K11" type="list">
      <formula1>"REPOR,OK"</formula1>
      <formula2>0</formula2>
    </dataValidation>
    <dataValidation allowBlank="false" errorStyle="stop" operator="between" showDropDown="false" showErrorMessage="false" showInputMessage="false" sqref="L2:L1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2026-03-05T12:31:45Z</dcterms:created>
  <dc:creator>openpyxl</dc:creator>
  <dc:description/>
  <dc:language>en-US</dc:language>
  <cp:lastModifiedBy/>
  <dcterms:modified xsi:type="dcterms:W3CDTF">2026-03-05T12:31:59Z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